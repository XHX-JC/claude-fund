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adb\Dropbox\James\IBKR\"/>
    </mc:Choice>
  </mc:AlternateContent>
  <xr:revisionPtr revIDLastSave="0" documentId="8_{B999CE1F-7F27-4AF9-BF27-4A9FF3188F95}" xr6:coauthVersionLast="47" xr6:coauthVersionMax="47" xr10:uidLastSave="{00000000-0000-0000-0000-000000000000}"/>
  <bookViews>
    <workbookView xWindow="-67320" yWindow="-120" windowWidth="38640" windowHeight="16440" tabRatio="500" xr2:uid="{00000000-000D-0000-FFFF-FFFF00000000}"/>
  </bookViews>
  <sheets>
    <sheet name="Portfolio" sheetId="1" r:id="rId1"/>
    <sheet name="Watchlist" sheetId="2" r:id="rId2"/>
    <sheet name="Catalysts" sheetId="3" r:id="rId3"/>
    <sheet name="Trade Log" sheetId="4" r:id="rId4"/>
    <sheet name="Thesis &amp; IBKR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4" l="1"/>
  <c r="G16" i="1"/>
  <c r="B23" i="1" s="1"/>
  <c r="B20" i="1" l="1"/>
  <c r="B22" i="1" s="1"/>
</calcChain>
</file>

<file path=xl/sharedStrings.xml><?xml version="1.0" encoding="utf-8"?>
<sst xmlns="http://schemas.openxmlformats.org/spreadsheetml/2006/main" count="831" uniqueCount="473">
  <si>
    <t>FUND PORTFOLIO — 24 MARCH 2026</t>
  </si>
  <si>
    <t>Fund Size: $100,000</t>
  </si>
  <si>
    <t>Deployed: $54,478  |  IAG Reserve: $10,000  |  Free: $35,522</t>
  </si>
  <si>
    <t>Deployment: 54%  |  Status: 10 Orders Submitted</t>
  </si>
  <si>
    <t>SUBMITTED ORDERS — AWAITING EXECUTION AT 9:30 AM EDT / 5:30 PM DUBAI</t>
  </si>
  <si>
    <t>#</t>
  </si>
  <si>
    <t>Ticker</t>
  </si>
  <si>
    <t>Name</t>
  </si>
  <si>
    <t>Tranche</t>
  </si>
  <si>
    <t>Shares</t>
  </si>
  <si>
    <t>Limit Price</t>
  </si>
  <si>
    <t>Est. Cost</t>
  </si>
  <si>
    <t>Stop Loss</t>
  </si>
  <si>
    <t>Target</t>
  </si>
  <si>
    <t>Theme</t>
  </si>
  <si>
    <t>Key Catalyst</t>
  </si>
  <si>
    <t>Notes</t>
  </si>
  <si>
    <t>RCL</t>
  </si>
  <si>
    <t>Royal Caribbean</t>
  </si>
  <si>
    <t>B</t>
  </si>
  <si>
    <t>—</t>
  </si>
  <si>
    <t>$395.00</t>
  </si>
  <si>
    <t>Oil Rebound</t>
  </si>
  <si>
    <t>CCL earnings Thu 27 Mar</t>
  </si>
  <si>
    <t>No stop — manual management</t>
  </si>
  <si>
    <t>CCL</t>
  </si>
  <si>
    <t>Carnival Corp</t>
  </si>
  <si>
    <t>Manual</t>
  </si>
  <si>
    <t>$37.35</t>
  </si>
  <si>
    <t>Q1 Earnings 27 Mar pre-mkt</t>
  </si>
  <si>
    <t>No auto stop — watch Thu earnings</t>
  </si>
  <si>
    <t>CTRA</t>
  </si>
  <si>
    <t>Coterra Energy</t>
  </si>
  <si>
    <t>A</t>
  </si>
  <si>
    <t>$43.00</t>
  </si>
  <si>
    <t>Oil/Devon Merger</t>
  </si>
  <si>
    <t>Devon merger close + Iran pause</t>
  </si>
  <si>
    <t>Mental stop $30. No auto stop.</t>
  </si>
  <si>
    <t>CCJ</t>
  </si>
  <si>
    <t>Cameco Corp</t>
  </si>
  <si>
    <t>$136.00</t>
  </si>
  <si>
    <t>Uranium Anchor</t>
  </si>
  <si>
    <t>May 1 earnings</t>
  </si>
  <si>
    <t>2-5yr structural hold</t>
  </si>
  <si>
    <t>LEU</t>
  </si>
  <si>
    <t>Centrus Energy</t>
  </si>
  <si>
    <t>$283.00</t>
  </si>
  <si>
    <t>HALEU Monopoly</t>
  </si>
  <si>
    <t>SMR procurement cycle</t>
  </si>
  <si>
    <t>Only US HALEU producer</t>
  </si>
  <si>
    <t>UEC</t>
  </si>
  <si>
    <t>Uranium Energy</t>
  </si>
  <si>
    <t>$26.75</t>
  </si>
  <si>
    <t>Uranium Junior</t>
  </si>
  <si>
    <t>Christensen Ranch + NRC docket</t>
  </si>
  <si>
    <t>100% unhedged. HC Wainwright PT $26.75</t>
  </si>
  <si>
    <t>VST</t>
  </si>
  <si>
    <t>Vistra Corp</t>
  </si>
  <si>
    <t>$130.00</t>
  </si>
  <si>
    <t>$234.00</t>
  </si>
  <si>
    <t>Nuclear/AI Power</t>
  </si>
  <si>
    <t>May 13 earnings</t>
  </si>
  <si>
    <t>Meta 20yr PPA 2,100MW. JPM PT $240</t>
  </si>
  <si>
    <t>PLTR</t>
  </si>
  <si>
    <t>Palantir Technologies</t>
  </si>
  <si>
    <t>$200.00</t>
  </si>
  <si>
    <t>Defence AI</t>
  </si>
  <si>
    <t>Maven POR + May 11 earnings</t>
  </si>
  <si>
    <t>STOP $130 / SELL $200 set in IBKR</t>
  </si>
  <si>
    <t>SHLD</t>
  </si>
  <si>
    <t>Global X Defence ETF</t>
  </si>
  <si>
    <t>Structural</t>
  </si>
  <si>
    <t>Drone/Defence ETF</t>
  </si>
  <si>
    <t>Structural hold — no fixed target</t>
  </si>
  <si>
    <t>52 holdings. $8.5B AUM. EU rearmament floor</t>
  </si>
  <si>
    <t>ONDS</t>
  </si>
  <si>
    <t>Ondas Holdings</t>
  </si>
  <si>
    <t>C</t>
  </si>
  <si>
    <t>$8.50</t>
  </si>
  <si>
    <t>$18.00</t>
  </si>
  <si>
    <t>Drone ISR/Comms</t>
  </si>
  <si>
    <t>Q4 Earnings 25 Mar 8:30AM EDT</t>
  </si>
  <si>
    <t>STOP $8.50 SET. Palantir+WorldView JV. $375M 2026 guide</t>
  </si>
  <si>
    <t>TOTAL DEPLOYED</t>
  </si>
  <si>
    <t>FUND ALLOCATION SUMMARY</t>
  </si>
  <si>
    <t>TRANCHE KEY</t>
  </si>
  <si>
    <t>Fund Size</t>
  </si>
  <si>
    <t>$100,000</t>
  </si>
  <si>
    <t>Tranche B — Conflict rebound / long hold</t>
  </si>
  <si>
    <t>Total Deployed</t>
  </si>
  <si>
    <t>Tranche A — Day trading / momentum</t>
  </si>
  <si>
    <t>IAG Reserve</t>
  </si>
  <si>
    <t>$10,000</t>
  </si>
  <si>
    <t>Tranche C — High volatility / penny</t>
  </si>
  <si>
    <t>Free Capital</t>
  </si>
  <si>
    <t>% Deployed</t>
  </si>
  <si>
    <t>FULL WATCHLIST — 41 POSITIONS  |  24 MARCH 2026</t>
  </si>
  <si>
    <t>Exchange</t>
  </si>
  <si>
    <t>IBKR Ticker</t>
  </si>
  <si>
    <t>Entry</t>
  </si>
  <si>
    <t>Status</t>
  </si>
  <si>
    <t>Exit Trigger</t>
  </si>
  <si>
    <t>Notes / Thesis</t>
  </si>
  <si>
    <t>NYSE</t>
  </si>
  <si>
    <t>$275.00</t>
  </si>
  <si>
    <t>LIVE</t>
  </si>
  <si>
    <t>Oil &lt;$80 sustained</t>
  </si>
  <si>
    <t>36sh @ $275. No auto stop.</t>
  </si>
  <si>
    <t>$25.25</t>
  </si>
  <si>
    <t>240sh @ $25.25. Earnings Thu 27 Mar.</t>
  </si>
  <si>
    <t>$101.00</t>
  </si>
  <si>
    <t>2028 Russian waiver</t>
  </si>
  <si>
    <t>49sh @ $101. India $2.6B deal.</t>
  </si>
  <si>
    <t>$33.50</t>
  </si>
  <si>
    <t>Oil/Devon</t>
  </si>
  <si>
    <t>Devon close OR oil&lt;$75</t>
  </si>
  <si>
    <t>150sh @ $33.50. No auto stop.</t>
  </si>
  <si>
    <t>$151.00</t>
  </si>
  <si>
    <t>EBITDA guide cut</t>
  </si>
  <si>
    <t>53sh @ $151. Stop $130. Meta PPA.</t>
  </si>
  <si>
    <t>NASDAQ</t>
  </si>
  <si>
    <t>$161.00</t>
  </si>
  <si>
    <t>Stop $130/Sell $200</t>
  </si>
  <si>
    <t>49sh @ $161. Maven POR. 61% rev growth.</t>
  </si>
  <si>
    <t>$72.25</t>
  </si>
  <si>
    <t>Structural — stop $62</t>
  </si>
  <si>
    <t>69sh @ $72.25. 52 holdings. EU rearmament.</t>
  </si>
  <si>
    <t>$187.00</t>
  </si>
  <si>
    <t>PT $283 consensus</t>
  </si>
  <si>
    <t>13sh @ $187. Only US HALEU producer.</t>
  </si>
  <si>
    <t>AMEX</t>
  </si>
  <si>
    <t>$12.10</t>
  </si>
  <si>
    <t>Spot &gt;$115/lb</t>
  </si>
  <si>
    <t>206sh @ $12.10. NRC docket + Christensen expansion.</t>
  </si>
  <si>
    <t>$10.97</t>
  </si>
  <si>
    <t>Break $12 = add</t>
  </si>
  <si>
    <t>250sh @ $10.97. STOP $8.50. Earnings 25 Mar.</t>
  </si>
  <si>
    <t>ICAGY</t>
  </si>
  <si>
    <t>IAG (British Airways)</t>
  </si>
  <si>
    <t>OTC</t>
  </si>
  <si>
    <t>TBD</t>
  </si>
  <si>
    <t>$14.96</t>
  </si>
  <si>
    <t>ON HOLD</t>
  </si>
  <si>
    <t>Re-enter on oil spike ~$11.20</t>
  </si>
  <si>
    <t>$10k reserve. ADR = ~345p LSE.</t>
  </si>
  <si>
    <t>LHX</t>
  </si>
  <si>
    <t>L3Harris Technologies</t>
  </si>
  <si>
    <t>$363.00</t>
  </si>
  <si>
    <t>$385.00</t>
  </si>
  <si>
    <t>WATCH</t>
  </si>
  <si>
    <t>Defence</t>
  </si>
  <si>
    <t>Missile Solutions IPO H2 2026</t>
  </si>
  <si>
    <t>Earnings 23 Apr.</t>
  </si>
  <si>
    <t>SAP</t>
  </si>
  <si>
    <t>SAP SE</t>
  </si>
  <si>
    <t>$175.80</t>
  </si>
  <si>
    <t>$341.00</t>
  </si>
  <si>
    <t>Enterprise Tech</t>
  </si>
  <si>
    <t>PT $341 consensus</t>
  </si>
  <si>
    <t>Sold off on sentiment.</t>
  </si>
  <si>
    <t>Barrick Mining</t>
  </si>
  <si>
    <t>$37.14</t>
  </si>
  <si>
    <t>$55.00</t>
  </si>
  <si>
    <t>Gold Hedge</t>
  </si>
  <si>
    <t>Gold &lt;$2,800 + ceasefire</t>
  </si>
  <si>
    <t>NYSE ticker B (not GOLD).</t>
  </si>
  <si>
    <t>EQNR</t>
  </si>
  <si>
    <t>Equinor ASA</t>
  </si>
  <si>
    <t>Energy/Hormuz</t>
  </si>
  <si>
    <t>Oil &lt;$75 OR Hormuz reopens</t>
  </si>
  <si>
    <t>Zero Hormuz exposure. 3.9% div yield.</t>
  </si>
  <si>
    <t>SHEL</t>
  </si>
  <si>
    <t>Shell PLC</t>
  </si>
  <si>
    <t>Oil &lt;$75</t>
  </si>
  <si>
    <t>JPMorgan OW. 7% Hormuz exp. 17% upside.</t>
  </si>
  <si>
    <t>AMD</t>
  </si>
  <si>
    <t>Adv. Micro Devices</t>
  </si>
  <si>
    <t>$201.33</t>
  </si>
  <si>
    <t>$290.00</t>
  </si>
  <si>
    <t>Semis/AI</t>
  </si>
  <si>
    <t>Post-earnings re-rate</t>
  </si>
  <si>
    <t>May 5 earnings.</t>
  </si>
  <si>
    <t>SMCI</t>
  </si>
  <si>
    <t>Super Micro Computer</t>
  </si>
  <si>
    <t>$31.00</t>
  </si>
  <si>
    <t>$42.00</t>
  </si>
  <si>
    <t>AI Servers</t>
  </si>
  <si>
    <t>May 5 earnings</t>
  </si>
  <si>
    <t>Blackwell servers. Size small.</t>
  </si>
  <si>
    <t>BBAI</t>
  </si>
  <si>
    <t>BigBear.ai</t>
  </si>
  <si>
    <t>$3.83</t>
  </si>
  <si>
    <t>$7.79</t>
  </si>
  <si>
    <t>Apr 30 earnings + contract</t>
  </si>
  <si>
    <t>UAE EDGE deal.</t>
  </si>
  <si>
    <t>AVGO</t>
  </si>
  <si>
    <t>Broadcom</t>
  </si>
  <si>
    <t>$313.10</t>
  </si>
  <si>
    <t>$400.00</t>
  </si>
  <si>
    <t>AI Chips</t>
  </si>
  <si>
    <t>AI revenue milestone</t>
  </si>
  <si>
    <t>Meta ASIC confirmed.</t>
  </si>
  <si>
    <t>TSLA</t>
  </si>
  <si>
    <t>Tesla</t>
  </si>
  <si>
    <t>$408.00</t>
  </si>
  <si>
    <t>Intraday Only</t>
  </si>
  <si>
    <t>Intraday — NO overnight</t>
  </si>
  <si>
    <t>HSBC PT -70%. High risk.</t>
  </si>
  <si>
    <t>KDEF</t>
  </si>
  <si>
    <t>Plus Korea Defense ETF</t>
  </si>
  <si>
    <t>Korea Defence</t>
  </si>
  <si>
    <t>Structural hold</t>
  </si>
  <si>
    <t>Hanwha 15.5%, LIG Nex1 5.1%, KAI 8.3%.</t>
  </si>
  <si>
    <t>EUAD</t>
  </si>
  <si>
    <t>STOXX Europe Def. ETF</t>
  </si>
  <si>
    <t>EU Defence ETF</t>
  </si>
  <si>
    <t>RHM, BAE, Rolls, Leonardo, Thales, Safran.</t>
  </si>
  <si>
    <t>Vistra (watch add)</t>
  </si>
  <si>
    <t>Add on dips</t>
  </si>
  <si>
    <t>Already live. Scale at $140.</t>
  </si>
  <si>
    <t>RNMBY</t>
  </si>
  <si>
    <t>Rheinmetall ADR</t>
  </si>
  <si>
    <t>EU Rearmament</t>
  </si>
  <si>
    <t>40-45% sales growth 2026. OTC ADR for RHM.DE.</t>
  </si>
  <si>
    <t>FINMY</t>
  </si>
  <si>
    <t>Leonardo SpA ADR</t>
  </si>
  <si>
    <t>Doubles profit by 2030. OTC ADR for LDO.MI.</t>
  </si>
  <si>
    <t>BAESY</t>
  </si>
  <si>
    <t>BAE Systems ADR</t>
  </si>
  <si>
    <t>45% US DoD rev + AUKUS prime. OTC ADR for BA.</t>
  </si>
  <si>
    <t>RYCEY</t>
  </si>
  <si>
    <t>Rolls-Royce ADR</t>
  </si>
  <si>
    <t>Defence + SMR nuclear + mil aviation.</t>
  </si>
  <si>
    <t>MHI</t>
  </si>
  <si>
    <t>Mitsubishi Heavy</t>
  </si>
  <si>
    <t>TSE</t>
  </si>
  <si>
    <t>7011</t>
  </si>
  <si>
    <t>Japan Defence</t>
  </si>
  <si>
    <t>TSE: search 7011, select TSEJ. GCAP fighter.</t>
  </si>
  <si>
    <t>AVAV</t>
  </si>
  <si>
    <t>AeroVironment</t>
  </si>
  <si>
    <t>$305.00</t>
  </si>
  <si>
    <t>Loitering Munitions</t>
  </si>
  <si>
    <t>Entry $185-190 dip only</t>
  </si>
  <si>
    <t>$990M Switchblade IDIQ. Red Dragon contract 21 Mar. PT $305.</t>
  </si>
  <si>
    <t>KTOS</t>
  </si>
  <si>
    <t>Kratos Defense</t>
  </si>
  <si>
    <t>$102.00</t>
  </si>
  <si>
    <t>Jet Drone/C-UAS</t>
  </si>
  <si>
    <t>Entry ~$85 dip</t>
  </si>
  <si>
    <t>Valkyrie + counter-UAS. Orbit deal close end-Mar. PT $102.</t>
  </si>
  <si>
    <t>DRO</t>
  </si>
  <si>
    <t>DroneShield</t>
  </si>
  <si>
    <t>ASX</t>
  </si>
  <si>
    <t>Counter-UAS Pure</t>
  </si>
  <si>
    <t>Check ASX access</t>
  </si>
  <si>
    <t>Revenue +276% FY2025. A$1.2B EU pipeline.</t>
  </si>
  <si>
    <t>PZZA</t>
  </si>
  <si>
    <t>Papa Johns Intl</t>
  </si>
  <si>
    <t>$47.00</t>
  </si>
  <si>
    <t>M&amp;A Arb</t>
  </si>
  <si>
    <t>Deal close $47 OR bid withdrawn</t>
  </si>
  <si>
    <t>Irth Capital $47 bid. ~$36.70. 28% spread.</t>
  </si>
  <si>
    <t>PDYN</t>
  </si>
  <si>
    <t>Palladyne AI</t>
  </si>
  <si>
    <t>$6.34</t>
  </si>
  <si>
    <t>$11.00</t>
  </si>
  <si>
    <t>Swarm Autonomy</t>
  </si>
  <si>
    <t>May 13 earnings + DoD contract</t>
  </si>
  <si>
    <t>SwarmOS. 100K+ Ukraine missions. Roth conf today.</t>
  </si>
  <si>
    <t>NVTS</t>
  </si>
  <si>
    <t>Navitas Semiconductor</t>
  </si>
  <si>
    <t>$8.90</t>
  </si>
  <si>
    <t>$12.00</t>
  </si>
  <si>
    <t>Power Semis</t>
  </si>
  <si>
    <t>Nvidia mass prod 2027 confirm</t>
  </si>
  <si>
    <t>Nvidia 800V HVDC partner.</t>
  </si>
  <si>
    <t>ZENA</t>
  </si>
  <si>
    <t>ZenaTech</t>
  </si>
  <si>
    <t>$2.41</t>
  </si>
  <si>
    <t>Counter-UAS/GPS</t>
  </si>
  <si>
    <t>Blue UAS cert + DoD pilot</t>
  </si>
  <si>
    <t>Quantum GPS-denied nav. Apr 1 DaaS-25 target.</t>
  </si>
  <si>
    <t>LAC</t>
  </si>
  <si>
    <t>Lithium Americas</t>
  </si>
  <si>
    <t>$4.50</t>
  </si>
  <si>
    <t>Critical Minerals</t>
  </si>
  <si>
    <t>Phase 1 production confirm</t>
  </si>
  <si>
    <t>DOE $2.26B loan + GM investment.</t>
  </si>
  <si>
    <t>RCAT</t>
  </si>
  <si>
    <t>Red Cat Holdings</t>
  </si>
  <si>
    <t>$13.50</t>
  </si>
  <si>
    <t>$17.00</t>
  </si>
  <si>
    <t>Small Drone/Army</t>
  </si>
  <si>
    <t>PT $17 consensus</t>
  </si>
  <si>
    <t>Army SRR programme. Black Widow 1K/mo. +1985% rev.</t>
  </si>
  <si>
    <t>Apr 30 earnings</t>
  </si>
  <si>
    <t>MAR</t>
  </si>
  <si>
    <t>Marriott Intl</t>
  </si>
  <si>
    <t>$323.00</t>
  </si>
  <si>
    <t>$331.00</t>
  </si>
  <si>
    <t>Travel/Rebound</t>
  </si>
  <si>
    <t>Asset-light, limited GCC exposure.</t>
  </si>
  <si>
    <t>HWM</t>
  </si>
  <si>
    <t>Howmet Aerospace</t>
  </si>
  <si>
    <t>$231.21</t>
  </si>
  <si>
    <t>Aerospace/Defence</t>
  </si>
  <si>
    <t>Hold — rearmament structural</t>
  </si>
  <si>
    <t>Jet engine + defence components.</t>
  </si>
  <si>
    <t>CATALYST CALENDAR — Q1/Q2 2026</t>
  </si>
  <si>
    <t>Date</t>
  </si>
  <si>
    <t>Ticker(s)</t>
  </si>
  <si>
    <t>Event</t>
  </si>
  <si>
    <t>Priority</t>
  </si>
  <si>
    <t>Expected Impact</t>
  </si>
  <si>
    <t>Action</t>
  </si>
  <si>
    <t>25 Mar — TOMORROW</t>
  </si>
  <si>
    <t>Q4 2025 Earnings — 8:30AM EDT = 4:30PM Dubai</t>
  </si>
  <si>
    <t>🔴 CRITICAL</t>
  </si>
  <si>
    <t>Gap up if $375M guide confirmed</t>
  </si>
  <si>
    <t>Watch $12 resistance break — add signal</t>
  </si>
  <si>
    <t>Key numbers: revenue, Mistral detail, Palantir programmes</t>
  </si>
  <si>
    <t>27 Mar — Thursday</t>
  </si>
  <si>
    <t>Q1 2026 Earnings pre-market</t>
  </si>
  <si>
    <t>10%+ move likely either direction</t>
  </si>
  <si>
    <t>Strong guide = hold. Weak guide = evaluate exit</t>
  </si>
  <si>
    <t>Watch wave season bookings + fuel cost commentary</t>
  </si>
  <si>
    <t>28-31 Mar</t>
  </si>
  <si>
    <t>ALL / OIL</t>
  </si>
  <si>
    <t>Trump 5-day Iran strike pause expires</t>
  </si>
  <si>
    <t>Oil rebound likely if Iran denies</t>
  </si>
  <si>
    <t>IAG re-entry window opens on oil spike</t>
  </si>
  <si>
    <t>Iran has denied negotiations. Pattern consistent.</t>
  </si>
  <si>
    <t>CTRA, RCL</t>
  </si>
  <si>
    <t>Iran pause expiry — oil price reaction</t>
  </si>
  <si>
    <t>CTRA, RCL, CCL all benefit</t>
  </si>
  <si>
    <t>Monitor closely — may add CTRA</t>
  </si>
  <si>
    <t>Exit trigger: oil &lt;$80 sustained</t>
  </si>
  <si>
    <t>01 Apr</t>
  </si>
  <si>
    <t>DaaS-25 location target</t>
  </si>
  <si>
    <t>🟡 MEDIUM</t>
  </si>
  <si>
    <t>Binary — Blue UAS cert</t>
  </si>
  <si>
    <t>If certified: add to position</t>
  </si>
  <si>
    <t>Counter-UAS + quantum GPS-denied nav</t>
  </si>
  <si>
    <t>23 Apr</t>
  </si>
  <si>
    <t>L3Harris Q1 Earnings</t>
  </si>
  <si>
    <t>Missile Solutions IPO timeline</t>
  </si>
  <si>
    <t>Listen for IPO timing commentary</t>
  </si>
  <si>
    <t>DoD missile IPO H2 2026 expected</t>
  </si>
  <si>
    <t>28 Apr</t>
  </si>
  <si>
    <t>Tesla Q1 Earnings</t>
  </si>
  <si>
    <t>🟢 WATCH</t>
  </si>
  <si>
    <t>Intraday vol opportunity</t>
  </si>
  <si>
    <t>Intraday trade only — no overnight</t>
  </si>
  <si>
    <t>30 Apr</t>
  </si>
  <si>
    <t>RCL, HWM</t>
  </si>
  <si>
    <t>RCL Q1 Earnings + HWM Earnings</t>
  </si>
  <si>
    <t>RCL: wave season guide key</t>
  </si>
  <si>
    <t>Confirm oil rebound thesis</t>
  </si>
  <si>
    <t>Both in watchlist — RCL live</t>
  </si>
  <si>
    <t>01 May</t>
  </si>
  <si>
    <t>Cameco Q1 Earnings</t>
  </si>
  <si>
    <t>Uranium contract update</t>
  </si>
  <si>
    <t>55% earnings growth expected</t>
  </si>
  <si>
    <t>India $2.6B deal details</t>
  </si>
  <si>
    <t>05 May</t>
  </si>
  <si>
    <t>AMD, SMCI</t>
  </si>
  <si>
    <t>AMD + Super Micro Earnings</t>
  </si>
  <si>
    <t>AI demand signal</t>
  </si>
  <si>
    <t>Watch for Blackwell server commentary</t>
  </si>
  <si>
    <t>Both on watchlist</t>
  </si>
  <si>
    <t>07 May</t>
  </si>
  <si>
    <t>Rheinmetall Q1 Earnings</t>
  </si>
  <si>
    <t>EU rearmament order flow</t>
  </si>
  <si>
    <t>Monitor ADR if in position</t>
  </si>
  <si>
    <t>40-45% sales growth expected</t>
  </si>
  <si>
    <t>11 May</t>
  </si>
  <si>
    <t>Palantir Q1 Earnings</t>
  </si>
  <si>
    <t>🟠 HIGH</t>
  </si>
  <si>
    <t>61% rev growth guide — key test</t>
  </si>
  <si>
    <t>Hold through earnings — stop $130</t>
  </si>
  <si>
    <t>Maven programme + commercial AIP growth</t>
  </si>
  <si>
    <t>13 May</t>
  </si>
  <si>
    <t>VST, PDYN</t>
  </si>
  <si>
    <t>Vistra + Palladyne Earnings</t>
  </si>
  <si>
    <t>VST: EBITDA guide; PDYN: DoD news</t>
  </si>
  <si>
    <t>VST hold — PDYN watch for contract</t>
  </si>
  <si>
    <t>VST 2026 EBITDA guide $6.8-7.6B</t>
  </si>
  <si>
    <t>Jun 16</t>
  </si>
  <si>
    <t>Uranium Energy Q3 FY2026 Earnings</t>
  </si>
  <si>
    <t>Production ramp confirmation</t>
  </si>
  <si>
    <t>Burke Hollow Texas startup update</t>
  </si>
  <si>
    <t>Christensen Ranch + Burke Hollow combined</t>
  </si>
  <si>
    <t>Ongoing</t>
  </si>
  <si>
    <t>ALL</t>
  </si>
  <si>
    <t>Iran/Trump — daily headline risk</t>
  </si>
  <si>
    <t>Oil ±10% on any major statement</t>
  </si>
  <si>
    <t>Monitor Truth Social + Iran FARS agency</t>
  </si>
  <si>
    <t>5-day pause pattern: Trump announces, Iran denies</t>
  </si>
  <si>
    <t>AVAV, KTOS</t>
  </si>
  <si>
    <t>Drone contract awards — watch for buys</t>
  </si>
  <si>
    <t>AVAV dip to $185-190 = entry</t>
  </si>
  <si>
    <t>KTOS dip to $85 = entry</t>
  </si>
  <si>
    <t>Army Drone Dominance 350K FPV procurement</t>
  </si>
  <si>
    <t>TRADE LOG — ALL ORDERS</t>
  </si>
  <si>
    <t>Limit/Price</t>
  </si>
  <si>
    <t>Fill Price</t>
  </si>
  <si>
    <t>Total Cost</t>
  </si>
  <si>
    <t>Stop</t>
  </si>
  <si>
    <t>24 Mar 2026</t>
  </si>
  <si>
    <t>BUY</t>
  </si>
  <si>
    <t>None</t>
  </si>
  <si>
    <t>$395</t>
  </si>
  <si>
    <t>SUBMITTED</t>
  </si>
  <si>
    <t>$43</t>
  </si>
  <si>
    <t>$136</t>
  </si>
  <si>
    <t>$283</t>
  </si>
  <si>
    <t>$130</t>
  </si>
  <si>
    <t>$234</t>
  </si>
  <si>
    <t>$200</t>
  </si>
  <si>
    <t>$62</t>
  </si>
  <si>
    <t>Hold</t>
  </si>
  <si>
    <t>$18</t>
  </si>
  <si>
    <t>TOTAL SUBMITTED</t>
  </si>
  <si>
    <t>FUND THESIS &amp; IBKR SETUP GUIDE</t>
  </si>
  <si>
    <t>MASTER THESIS</t>
  </si>
  <si>
    <t>US will withdraw from Iran conflict but Iran will maintain Hormuz blockade. Exit triggers are OIL-BASED not ceasefire-based. Oil &lt;$80 sustained = Hormuz functionally open = thesis broken.</t>
  </si>
  <si>
    <t>THEME 1 — OIL REBOUND (RCL, CCL, CTRA)</t>
  </si>
  <si>
    <t>Iran holds Hormuz → oil structurally elevated → cruise demand holds + energy prices elevated. Exit: oil &lt;$80 sustained for 5+ trading days.</t>
  </si>
  <si>
    <t>THEME 2 — URANIUM / NUCLEAR (CCJ, LEU, UEC)</t>
  </si>
  <si>
    <t>Iran conflict permanently accelerated nuclear energy security thesis. AI data centre baseload demand. Supply cannot keep up. CCJ = blue-chip anchor. LEU = only US HALEU producer. UEC = 100% unhedged, production expanding.</t>
  </si>
  <si>
    <t>THEME 3 — AI / NUCLEAR POWER (VST)</t>
  </si>
  <si>
    <t>Second-largest US nuclear fleet. Meta 20yr PPA 2,100MW. $6.8-7.6B 2026 EBITDA guidance. 53 shares @ $151 — 55% upside to analyst median $234. Stop $130.</t>
  </si>
  <si>
    <t>THEME 4 — DEFENCE AI / DRONE BASKET (PLTR, SHLD, ONDS)</t>
  </si>
  <si>
    <t>Palantir: Maven Smart System = permanent DoD budget line. 61% revenue growth 2026. Hard stop $130, sell $200. SHLD: 52-holding drone/defence basket — survives ceasefire via EU rearmament structural floor. ONDS: Palantir+World View ISR partnership. $375M 2026 guidance.</t>
  </si>
  <si>
    <t>DRONE WARFARE THESIS</t>
  </si>
  <si>
    <t>Ukraine and Iran have proven drones are a force multiplier with brutal cost asymmetry (Shahed $20K vs Patriot $4M). Merops interceptor ($15K) solves this. Middle East will build permanent counter-UAS infrastructure. Durable money: software/autonomy stack (PDYN, ZENA), counter-UAS economics (KTOS, DRO), comms/ISR backbone (ONDS).</t>
  </si>
  <si>
    <t>IBKR ACCESS &amp; ORDER SETTINGS</t>
  </si>
  <si>
    <t>IBKR Path</t>
  </si>
  <si>
    <t>Note</t>
  </si>
  <si>
    <t>Order Type</t>
  </si>
  <si>
    <t>Example Ticker</t>
  </si>
  <si>
    <t>NYSE / NASDAQ / AMEX</t>
  </si>
  <si>
    <t>✅ Full</t>
  </si>
  <si>
    <t>US Stocks → direct</t>
  </si>
  <si>
    <t>All US equities, no setup needed</t>
  </si>
  <si>
    <t>LMT + Algo + Post Only</t>
  </si>
  <si>
    <t>RCL, CCL, PLTR</t>
  </si>
  <si>
    <t>OTC Pink (ADRs)</t>
  </si>
  <si>
    <t>Search ticker → OTCBB/PINK</t>
  </si>
  <si>
    <t>Use LIMIT orders only on OTC</t>
  </si>
  <si>
    <t>LMT only, no Algo</t>
  </si>
  <si>
    <t>ICAGY, RNMBY, BAESY</t>
  </si>
  <si>
    <t>TSE Tokyo</t>
  </si>
  <si>
    <t>✅ Confirmed</t>
  </si>
  <si>
    <t>Search 7011 → select TSEJ</t>
  </si>
  <si>
    <t>Numeric tickers — always specify TSEJ</t>
  </si>
  <si>
    <t>LMT + Algo</t>
  </si>
  <si>
    <t>7011 (MHI)</t>
  </si>
  <si>
    <t>KSE Seoul</t>
  </si>
  <si>
    <t>❌ Blocked</t>
  </si>
  <si>
    <t>Numeric = bonds, blocked</t>
  </si>
  <si>
    <t>Use KDEF ETF for Korea exposure</t>
  </si>
  <si>
    <t>N/A — use KDEF</t>
  </si>
  <si>
    <t>ASX Australia</t>
  </si>
  <si>
    <t>⏳ Untested</t>
  </si>
  <si>
    <t>Try DRO + ASX</t>
  </si>
  <si>
    <t>Check UAE account permissions first</t>
  </si>
  <si>
    <t>Test with small order</t>
  </si>
  <si>
    <t>Leveraged ETFs</t>
  </si>
  <si>
    <t>❌ Restricted</t>
  </si>
  <si>
    <t>N/A</t>
  </si>
  <si>
    <t>UAE accounts blocked (KORU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</si>
</sst>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2F2F2F"/>
      <name val="Arial"/>
      <charset val="1"/>
    </font>
    <font>
      <b/>
      <sz val="9"/>
      <color rgb="FF1F3864"/>
      <name val="Arial"/>
      <charset val="1"/>
    </font>
    <font>
      <sz val="9"/>
      <color rgb="FF2F2F2F"/>
      <name val="Arial"/>
      <charset val="1"/>
    </font>
    <font>
      <b/>
      <sz val="9"/>
      <color rgb="FF1E7145"/>
      <name val="Arial"/>
      <charset val="1"/>
    </font>
    <font>
      <b/>
      <sz val="13"/>
      <color rgb="FFFFFFFF"/>
      <name val="Arial"/>
      <charset val="1"/>
    </font>
    <font>
      <sz val="9"/>
      <color rgb="FF1E7145"/>
      <name val="Arial"/>
      <charset val="1"/>
    </font>
    <font>
      <b/>
      <sz val="9"/>
      <color rgb="FFFF8C00"/>
      <name val="Arial"/>
      <charset val="1"/>
    </font>
    <font>
      <b/>
      <sz val="9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F2F2F"/>
      </patternFill>
    </fill>
    <fill>
      <patternFill patternType="solid">
        <fgColor rgb="FF2F2F2F"/>
        <bgColor rgb="FF333300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97132"/>
        <bgColor rgb="FFFF8C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right" vertical="center" wrapText="1"/>
    </xf>
    <xf numFmtId="164" fontId="6" fillId="6" borderId="1" xfId="0" applyNumberFormat="1" applyFont="1" applyFill="1" applyBorder="1" applyAlignment="1">
      <alignment horizontal="right" vertical="center" wrapText="1"/>
    </xf>
    <xf numFmtId="165" fontId="4" fillId="6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right" vertical="center" wrapText="1"/>
    </xf>
    <xf numFmtId="164" fontId="6" fillId="8" borderId="1" xfId="0" applyNumberFormat="1" applyFont="1" applyFill="1" applyBorder="1" applyAlignment="1">
      <alignment horizontal="right" vertical="center" wrapText="1"/>
    </xf>
    <xf numFmtId="165" fontId="4" fillId="8" borderId="1" xfId="0" applyNumberFormat="1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right" vertical="center" wrapText="1"/>
    </xf>
    <xf numFmtId="165" fontId="2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0" fontId="0" fillId="0" borderId="1" xfId="0" applyBorder="1"/>
    <xf numFmtId="0" fontId="4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 wrapText="1"/>
    </xf>
    <xf numFmtId="165" fontId="5" fillId="10" borderId="1" xfId="0" applyNumberFormat="1" applyFont="1" applyFill="1" applyBorder="1" applyAlignment="1">
      <alignment horizontal="right"/>
    </xf>
    <xf numFmtId="166" fontId="5" fillId="10" borderId="1" xfId="0" applyNumberFormat="1" applyFont="1" applyFill="1" applyBorder="1" applyAlignment="1">
      <alignment horizontal="right"/>
    </xf>
    <xf numFmtId="0" fontId="6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9" fillId="9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8C00"/>
      <rgbColor rgb="FFE97132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zoomScaleNormal="100" workbookViewId="0">
      <selection activeCell="U10" sqref="U10"/>
    </sheetView>
  </sheetViews>
  <sheetFormatPr defaultColWidth="8.7109375" defaultRowHeight="15" x14ac:dyDescent="0.25"/>
  <cols>
    <col min="1" max="1" width="4.85546875" bestFit="1" customWidth="1"/>
    <col min="2" max="2" width="8.42578125" bestFit="1" customWidth="1"/>
    <col min="3" max="3" width="18.42578125" bestFit="1" customWidth="1"/>
    <col min="4" max="4" width="7.7109375" bestFit="1" customWidth="1"/>
    <col min="5" max="5" width="12.28515625" bestFit="1" customWidth="1"/>
    <col min="6" max="6" width="14" bestFit="1" customWidth="1"/>
    <col min="7" max="7" width="8.140625" bestFit="1" customWidth="1"/>
    <col min="8" max="9" width="9.140625" bestFit="1" customWidth="1"/>
    <col min="10" max="10" width="14.7109375" bestFit="1" customWidth="1"/>
    <col min="11" max="11" width="23.42578125" bestFit="1" customWidth="1"/>
    <col min="12" max="12" width="34" customWidth="1"/>
  </cols>
  <sheetData>
    <row r="1" spans="1:12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" customHeight="1" x14ac:dyDescent="0.25">
      <c r="A2" s="11" t="s">
        <v>1</v>
      </c>
      <c r="B2" s="11"/>
      <c r="C2" s="11"/>
      <c r="D2" s="11"/>
      <c r="E2" s="11" t="s">
        <v>2</v>
      </c>
      <c r="F2" s="11"/>
      <c r="G2" s="11"/>
      <c r="H2" s="11"/>
      <c r="I2" s="11" t="s">
        <v>3</v>
      </c>
      <c r="J2" s="11"/>
      <c r="K2" s="11"/>
      <c r="L2" s="11"/>
    </row>
    <row r="4" spans="1:12" ht="18" customHeight="1" x14ac:dyDescent="0.25">
      <c r="A4" s="10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5.75" customHeight="1" x14ac:dyDescent="0.25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3" t="s">
        <v>12</v>
      </c>
      <c r="I5" s="13" t="s">
        <v>13</v>
      </c>
      <c r="J5" s="13" t="s">
        <v>14</v>
      </c>
      <c r="K5" s="13" t="s">
        <v>15</v>
      </c>
      <c r="L5" s="13" t="s">
        <v>16</v>
      </c>
    </row>
    <row r="6" spans="1:12" ht="27.75" customHeight="1" x14ac:dyDescent="0.25">
      <c r="A6" s="14">
        <v>1</v>
      </c>
      <c r="B6" s="15" t="s">
        <v>17</v>
      </c>
      <c r="C6" s="16" t="s">
        <v>18</v>
      </c>
      <c r="D6" s="14" t="s">
        <v>19</v>
      </c>
      <c r="E6" s="17">
        <v>36</v>
      </c>
      <c r="F6" s="18">
        <v>275</v>
      </c>
      <c r="G6" s="19">
        <v>9900</v>
      </c>
      <c r="H6" s="20" t="s">
        <v>20</v>
      </c>
      <c r="I6" s="21" t="s">
        <v>21</v>
      </c>
      <c r="J6" s="16" t="s">
        <v>22</v>
      </c>
      <c r="K6" s="16" t="s">
        <v>23</v>
      </c>
      <c r="L6" s="16" t="s">
        <v>24</v>
      </c>
    </row>
    <row r="7" spans="1:12" ht="27.75" customHeight="1" x14ac:dyDescent="0.25">
      <c r="A7" s="14">
        <v>2</v>
      </c>
      <c r="B7" s="15" t="s">
        <v>25</v>
      </c>
      <c r="C7" s="16" t="s">
        <v>26</v>
      </c>
      <c r="D7" s="14" t="s">
        <v>19</v>
      </c>
      <c r="E7" s="17">
        <v>240</v>
      </c>
      <c r="F7" s="18">
        <v>25.25</v>
      </c>
      <c r="G7" s="19">
        <v>6060</v>
      </c>
      <c r="H7" s="20" t="s">
        <v>27</v>
      </c>
      <c r="I7" s="21" t="s">
        <v>28</v>
      </c>
      <c r="J7" s="16" t="s">
        <v>22</v>
      </c>
      <c r="K7" s="16" t="s">
        <v>29</v>
      </c>
      <c r="L7" s="16" t="s">
        <v>30</v>
      </c>
    </row>
    <row r="8" spans="1:12" ht="27.75" customHeight="1" x14ac:dyDescent="0.25">
      <c r="A8" s="22">
        <v>3</v>
      </c>
      <c r="B8" s="23" t="s">
        <v>31</v>
      </c>
      <c r="C8" s="24" t="s">
        <v>32</v>
      </c>
      <c r="D8" s="22" t="s">
        <v>33</v>
      </c>
      <c r="E8" s="25">
        <v>150</v>
      </c>
      <c r="F8" s="26">
        <v>33.5</v>
      </c>
      <c r="G8" s="27">
        <v>5025</v>
      </c>
      <c r="H8" s="28" t="s">
        <v>27</v>
      </c>
      <c r="I8" s="29" t="s">
        <v>34</v>
      </c>
      <c r="J8" s="24" t="s">
        <v>35</v>
      </c>
      <c r="K8" s="24" t="s">
        <v>36</v>
      </c>
      <c r="L8" s="24" t="s">
        <v>37</v>
      </c>
    </row>
    <row r="9" spans="1:12" ht="27.75" customHeight="1" x14ac:dyDescent="0.25">
      <c r="A9" s="14">
        <v>4</v>
      </c>
      <c r="B9" s="15" t="s">
        <v>38</v>
      </c>
      <c r="C9" s="16" t="s">
        <v>39</v>
      </c>
      <c r="D9" s="14" t="s">
        <v>19</v>
      </c>
      <c r="E9" s="17">
        <v>49</v>
      </c>
      <c r="F9" s="18">
        <v>101</v>
      </c>
      <c r="G9" s="19">
        <v>4949</v>
      </c>
      <c r="H9" s="20" t="s">
        <v>20</v>
      </c>
      <c r="I9" s="21" t="s">
        <v>40</v>
      </c>
      <c r="J9" s="16" t="s">
        <v>41</v>
      </c>
      <c r="K9" s="16" t="s">
        <v>42</v>
      </c>
      <c r="L9" s="16" t="s">
        <v>43</v>
      </c>
    </row>
    <row r="10" spans="1:12" ht="27.75" customHeight="1" x14ac:dyDescent="0.25">
      <c r="A10" s="22">
        <v>5</v>
      </c>
      <c r="B10" s="23" t="s">
        <v>44</v>
      </c>
      <c r="C10" s="24" t="s">
        <v>45</v>
      </c>
      <c r="D10" s="22" t="s">
        <v>33</v>
      </c>
      <c r="E10" s="25">
        <v>13</v>
      </c>
      <c r="F10" s="26">
        <v>187</v>
      </c>
      <c r="G10" s="27">
        <v>2431</v>
      </c>
      <c r="H10" s="28" t="s">
        <v>20</v>
      </c>
      <c r="I10" s="29" t="s">
        <v>46</v>
      </c>
      <c r="J10" s="24" t="s">
        <v>47</v>
      </c>
      <c r="K10" s="24" t="s">
        <v>48</v>
      </c>
      <c r="L10" s="24" t="s">
        <v>49</v>
      </c>
    </row>
    <row r="11" spans="1:12" ht="27.75" customHeight="1" x14ac:dyDescent="0.25">
      <c r="A11" s="22">
        <v>6</v>
      </c>
      <c r="B11" s="23" t="s">
        <v>50</v>
      </c>
      <c r="C11" s="24" t="s">
        <v>51</v>
      </c>
      <c r="D11" s="22" t="s">
        <v>33</v>
      </c>
      <c r="E11" s="25">
        <v>206</v>
      </c>
      <c r="F11" s="26">
        <v>12.1</v>
      </c>
      <c r="G11" s="27">
        <v>2493</v>
      </c>
      <c r="H11" s="28" t="s">
        <v>20</v>
      </c>
      <c r="I11" s="29" t="s">
        <v>52</v>
      </c>
      <c r="J11" s="24" t="s">
        <v>53</v>
      </c>
      <c r="K11" s="24" t="s">
        <v>54</v>
      </c>
      <c r="L11" s="24" t="s">
        <v>55</v>
      </c>
    </row>
    <row r="12" spans="1:12" ht="27.75" customHeight="1" x14ac:dyDescent="0.25">
      <c r="A12" s="22">
        <v>7</v>
      </c>
      <c r="B12" s="23" t="s">
        <v>56</v>
      </c>
      <c r="C12" s="24" t="s">
        <v>57</v>
      </c>
      <c r="D12" s="22" t="s">
        <v>33</v>
      </c>
      <c r="E12" s="25">
        <v>53</v>
      </c>
      <c r="F12" s="26">
        <v>151</v>
      </c>
      <c r="G12" s="27">
        <v>8003</v>
      </c>
      <c r="H12" s="28" t="s">
        <v>20</v>
      </c>
      <c r="I12" s="29" t="s">
        <v>59</v>
      </c>
      <c r="J12" s="24" t="s">
        <v>60</v>
      </c>
      <c r="K12" s="24" t="s">
        <v>61</v>
      </c>
      <c r="L12" s="24" t="s">
        <v>62</v>
      </c>
    </row>
    <row r="13" spans="1:12" ht="27.75" customHeight="1" x14ac:dyDescent="0.25">
      <c r="A13" s="22">
        <v>8</v>
      </c>
      <c r="B13" s="23" t="s">
        <v>63</v>
      </c>
      <c r="C13" s="24" t="s">
        <v>64</v>
      </c>
      <c r="D13" s="22" t="s">
        <v>33</v>
      </c>
      <c r="E13" s="25">
        <v>49</v>
      </c>
      <c r="F13" s="26">
        <v>161</v>
      </c>
      <c r="G13" s="27">
        <v>7889</v>
      </c>
      <c r="H13" s="30" t="s">
        <v>58</v>
      </c>
      <c r="I13" s="29" t="s">
        <v>65</v>
      </c>
      <c r="J13" s="24" t="s">
        <v>66</v>
      </c>
      <c r="K13" s="24" t="s">
        <v>67</v>
      </c>
      <c r="L13" s="24" t="s">
        <v>68</v>
      </c>
    </row>
    <row r="14" spans="1:12" ht="27.75" customHeight="1" x14ac:dyDescent="0.25">
      <c r="A14" s="22">
        <v>9</v>
      </c>
      <c r="B14" s="23" t="s">
        <v>69</v>
      </c>
      <c r="C14" s="24" t="s">
        <v>70</v>
      </c>
      <c r="D14" s="22" t="s">
        <v>33</v>
      </c>
      <c r="E14" s="25">
        <v>69</v>
      </c>
      <c r="F14" s="26">
        <v>72.25</v>
      </c>
      <c r="G14" s="27">
        <v>4985</v>
      </c>
      <c r="H14" s="28" t="s">
        <v>20</v>
      </c>
      <c r="I14" s="29" t="s">
        <v>71</v>
      </c>
      <c r="J14" s="24" t="s">
        <v>72</v>
      </c>
      <c r="K14" s="24" t="s">
        <v>73</v>
      </c>
      <c r="L14" s="24" t="s">
        <v>74</v>
      </c>
    </row>
    <row r="15" spans="1:12" ht="27.75" customHeight="1" x14ac:dyDescent="0.25">
      <c r="A15" s="31">
        <v>10</v>
      </c>
      <c r="B15" s="32" t="s">
        <v>75</v>
      </c>
      <c r="C15" s="33" t="s">
        <v>76</v>
      </c>
      <c r="D15" s="31" t="s">
        <v>77</v>
      </c>
      <c r="E15" s="34">
        <v>250</v>
      </c>
      <c r="F15" s="35">
        <v>10.97</v>
      </c>
      <c r="G15" s="36">
        <v>2743</v>
      </c>
      <c r="H15" s="30" t="s">
        <v>78</v>
      </c>
      <c r="I15" s="37" t="s">
        <v>79</v>
      </c>
      <c r="J15" s="33" t="s">
        <v>80</v>
      </c>
      <c r="K15" s="33" t="s">
        <v>81</v>
      </c>
      <c r="L15" s="33" t="s">
        <v>82</v>
      </c>
    </row>
    <row r="16" spans="1:12" ht="18" customHeight="1" x14ac:dyDescent="0.25">
      <c r="A16" s="9" t="s">
        <v>83</v>
      </c>
      <c r="B16" s="9"/>
      <c r="C16" s="9"/>
      <c r="D16" s="9"/>
      <c r="E16" s="9"/>
      <c r="F16" s="9"/>
      <c r="G16" s="38">
        <f>SUM(G6:G15)</f>
        <v>54478</v>
      </c>
      <c r="H16" s="39"/>
      <c r="I16" s="39"/>
      <c r="J16" s="39"/>
      <c r="K16" s="39"/>
      <c r="L16" s="39"/>
    </row>
    <row r="18" spans="1:6" ht="15" customHeight="1" x14ac:dyDescent="0.25">
      <c r="A18" s="8" t="s">
        <v>84</v>
      </c>
      <c r="B18" s="8"/>
      <c r="C18" s="8"/>
      <c r="D18" s="40"/>
      <c r="E18" s="13" t="s">
        <v>85</v>
      </c>
      <c r="F18" s="40"/>
    </row>
    <row r="19" spans="1:6" ht="42.75" customHeight="1" x14ac:dyDescent="0.25">
      <c r="A19" s="41" t="s">
        <v>86</v>
      </c>
      <c r="B19" s="42" t="s">
        <v>87</v>
      </c>
      <c r="C19" s="40"/>
      <c r="D19" s="40"/>
      <c r="E19" s="16"/>
      <c r="F19" s="43" t="s">
        <v>88</v>
      </c>
    </row>
    <row r="20" spans="1:6" ht="53.25" customHeight="1" x14ac:dyDescent="0.25">
      <c r="A20" s="41" t="s">
        <v>89</v>
      </c>
      <c r="B20" s="44">
        <f>G16</f>
        <v>54478</v>
      </c>
      <c r="C20" s="40"/>
      <c r="D20" s="40"/>
      <c r="E20" s="24"/>
      <c r="F20" s="43" t="s">
        <v>90</v>
      </c>
    </row>
    <row r="21" spans="1:6" ht="42.75" customHeight="1" x14ac:dyDescent="0.25">
      <c r="A21" s="41" t="s">
        <v>91</v>
      </c>
      <c r="B21" s="44" t="s">
        <v>92</v>
      </c>
      <c r="C21" s="40"/>
      <c r="D21" s="40"/>
      <c r="E21" s="33"/>
      <c r="F21" s="43" t="s">
        <v>93</v>
      </c>
    </row>
    <row r="22" spans="1:6" ht="42.75" customHeight="1" x14ac:dyDescent="0.25">
      <c r="A22" s="41" t="s">
        <v>94</v>
      </c>
      <c r="B22" s="44">
        <f>100000-B20-10000</f>
        <v>35522</v>
      </c>
      <c r="C22" s="40"/>
      <c r="D22" s="40"/>
      <c r="E22" s="40"/>
      <c r="F22" s="40"/>
    </row>
    <row r="23" spans="1:6" ht="42.75" customHeight="1" x14ac:dyDescent="0.25">
      <c r="A23" s="41" t="s">
        <v>95</v>
      </c>
      <c r="B23" s="45">
        <f>G16/100000</f>
        <v>0.54478000000000004</v>
      </c>
      <c r="C23" s="40"/>
      <c r="D23" s="40"/>
      <c r="E23" s="40"/>
      <c r="F23" s="40"/>
    </row>
  </sheetData>
  <mergeCells count="7">
    <mergeCell ref="A16:F16"/>
    <mergeCell ref="A18:C18"/>
    <mergeCell ref="A1:L1"/>
    <mergeCell ref="A2:D2"/>
    <mergeCell ref="E2:H2"/>
    <mergeCell ref="I2:L2"/>
    <mergeCell ref="A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showGridLines="0" zoomScaleNormal="100" workbookViewId="0"/>
  </sheetViews>
  <sheetFormatPr defaultColWidth="8.7109375" defaultRowHeight="15" x14ac:dyDescent="0.25"/>
  <cols>
    <col min="1" max="1" width="7" customWidth="1"/>
    <col min="2" max="2" width="22" customWidth="1"/>
    <col min="3" max="4" width="8" customWidth="1"/>
    <col min="5" max="5" width="10" customWidth="1"/>
    <col min="6" max="8" width="9" customWidth="1"/>
    <col min="9" max="9" width="16" customWidth="1"/>
    <col min="10" max="10" width="24" customWidth="1"/>
    <col min="11" max="11" width="40" customWidth="1"/>
  </cols>
  <sheetData>
    <row r="1" spans="1:11" ht="27.75" customHeight="1" x14ac:dyDescent="0.25">
      <c r="A1" s="7" t="s">
        <v>96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.75" customHeight="1" x14ac:dyDescent="0.25">
      <c r="A2" s="13" t="s">
        <v>6</v>
      </c>
      <c r="B2" s="13" t="s">
        <v>7</v>
      </c>
      <c r="C2" s="13" t="s">
        <v>8</v>
      </c>
      <c r="D2" s="13" t="s">
        <v>97</v>
      </c>
      <c r="E2" s="13" t="s">
        <v>98</v>
      </c>
      <c r="F2" s="13" t="s">
        <v>99</v>
      </c>
      <c r="G2" s="13" t="s">
        <v>13</v>
      </c>
      <c r="H2" s="13" t="s">
        <v>100</v>
      </c>
      <c r="I2" s="13" t="s">
        <v>14</v>
      </c>
      <c r="J2" s="13" t="s">
        <v>101</v>
      </c>
      <c r="K2" s="13" t="s">
        <v>102</v>
      </c>
    </row>
    <row r="3" spans="1:11" ht="25.5" customHeight="1" x14ac:dyDescent="0.25">
      <c r="A3" s="15" t="s">
        <v>17</v>
      </c>
      <c r="B3" s="33" t="s">
        <v>18</v>
      </c>
      <c r="C3" s="20" t="s">
        <v>19</v>
      </c>
      <c r="D3" s="46" t="s">
        <v>103</v>
      </c>
      <c r="E3" s="46" t="s">
        <v>17</v>
      </c>
      <c r="F3" s="34" t="s">
        <v>104</v>
      </c>
      <c r="G3" s="47" t="s">
        <v>21</v>
      </c>
      <c r="H3" s="48" t="s">
        <v>105</v>
      </c>
      <c r="I3" s="33" t="s">
        <v>22</v>
      </c>
      <c r="J3" s="33" t="s">
        <v>106</v>
      </c>
      <c r="K3" s="33" t="s">
        <v>107</v>
      </c>
    </row>
    <row r="4" spans="1:11" ht="25.5" customHeight="1" x14ac:dyDescent="0.25">
      <c r="A4" s="15" t="s">
        <v>25</v>
      </c>
      <c r="B4" s="33" t="s">
        <v>26</v>
      </c>
      <c r="C4" s="20" t="s">
        <v>19</v>
      </c>
      <c r="D4" s="46" t="s">
        <v>103</v>
      </c>
      <c r="E4" s="46" t="s">
        <v>25</v>
      </c>
      <c r="F4" s="34" t="s">
        <v>108</v>
      </c>
      <c r="G4" s="47" t="s">
        <v>28</v>
      </c>
      <c r="H4" s="48" t="s">
        <v>105</v>
      </c>
      <c r="I4" s="33" t="s">
        <v>22</v>
      </c>
      <c r="J4" s="33" t="s">
        <v>106</v>
      </c>
      <c r="K4" s="33" t="s">
        <v>109</v>
      </c>
    </row>
    <row r="5" spans="1:11" ht="25.5" customHeight="1" x14ac:dyDescent="0.25">
      <c r="A5" s="15" t="s">
        <v>38</v>
      </c>
      <c r="B5" s="33" t="s">
        <v>39</v>
      </c>
      <c r="C5" s="20" t="s">
        <v>19</v>
      </c>
      <c r="D5" s="46" t="s">
        <v>103</v>
      </c>
      <c r="E5" s="46" t="s">
        <v>38</v>
      </c>
      <c r="F5" s="34" t="s">
        <v>110</v>
      </c>
      <c r="G5" s="47" t="s">
        <v>40</v>
      </c>
      <c r="H5" s="48" t="s">
        <v>105</v>
      </c>
      <c r="I5" s="33" t="s">
        <v>41</v>
      </c>
      <c r="J5" s="33" t="s">
        <v>111</v>
      </c>
      <c r="K5" s="33" t="s">
        <v>112</v>
      </c>
    </row>
    <row r="6" spans="1:11" ht="25.5" customHeight="1" x14ac:dyDescent="0.25">
      <c r="A6" s="23" t="s">
        <v>31</v>
      </c>
      <c r="B6" s="33" t="s">
        <v>32</v>
      </c>
      <c r="C6" s="28" t="s">
        <v>33</v>
      </c>
      <c r="D6" s="46" t="s">
        <v>103</v>
      </c>
      <c r="E6" s="46" t="s">
        <v>31</v>
      </c>
      <c r="F6" s="34" t="s">
        <v>113</v>
      </c>
      <c r="G6" s="47" t="s">
        <v>34</v>
      </c>
      <c r="H6" s="48" t="s">
        <v>105</v>
      </c>
      <c r="I6" s="33" t="s">
        <v>114</v>
      </c>
      <c r="J6" s="33" t="s">
        <v>115</v>
      </c>
      <c r="K6" s="33" t="s">
        <v>116</v>
      </c>
    </row>
    <row r="7" spans="1:11" ht="25.5" customHeight="1" x14ac:dyDescent="0.25">
      <c r="A7" s="23" t="s">
        <v>56</v>
      </c>
      <c r="B7" s="33" t="s">
        <v>57</v>
      </c>
      <c r="C7" s="28" t="s">
        <v>33</v>
      </c>
      <c r="D7" s="46" t="s">
        <v>103</v>
      </c>
      <c r="E7" s="46" t="s">
        <v>56</v>
      </c>
      <c r="F7" s="34" t="s">
        <v>117</v>
      </c>
      <c r="G7" s="47" t="s">
        <v>59</v>
      </c>
      <c r="H7" s="48" t="s">
        <v>105</v>
      </c>
      <c r="I7" s="33" t="s">
        <v>60</v>
      </c>
      <c r="J7" s="33" t="s">
        <v>118</v>
      </c>
      <c r="K7" s="33" t="s">
        <v>119</v>
      </c>
    </row>
    <row r="8" spans="1:11" ht="25.5" customHeight="1" x14ac:dyDescent="0.25">
      <c r="A8" s="23" t="s">
        <v>63</v>
      </c>
      <c r="B8" s="33" t="s">
        <v>64</v>
      </c>
      <c r="C8" s="28" t="s">
        <v>33</v>
      </c>
      <c r="D8" s="46" t="s">
        <v>120</v>
      </c>
      <c r="E8" s="46" t="s">
        <v>63</v>
      </c>
      <c r="F8" s="34" t="s">
        <v>121</v>
      </c>
      <c r="G8" s="47" t="s">
        <v>65</v>
      </c>
      <c r="H8" s="48" t="s">
        <v>105</v>
      </c>
      <c r="I8" s="33" t="s">
        <v>66</v>
      </c>
      <c r="J8" s="33" t="s">
        <v>122</v>
      </c>
      <c r="K8" s="33" t="s">
        <v>123</v>
      </c>
    </row>
    <row r="9" spans="1:11" ht="25.5" customHeight="1" x14ac:dyDescent="0.25">
      <c r="A9" s="23" t="s">
        <v>69</v>
      </c>
      <c r="B9" s="33" t="s">
        <v>70</v>
      </c>
      <c r="C9" s="28" t="s">
        <v>33</v>
      </c>
      <c r="D9" s="46" t="s">
        <v>103</v>
      </c>
      <c r="E9" s="46" t="s">
        <v>69</v>
      </c>
      <c r="F9" s="34" t="s">
        <v>124</v>
      </c>
      <c r="G9" s="34" t="s">
        <v>20</v>
      </c>
      <c r="H9" s="48" t="s">
        <v>105</v>
      </c>
      <c r="I9" s="33" t="s">
        <v>72</v>
      </c>
      <c r="J9" s="33" t="s">
        <v>125</v>
      </c>
      <c r="K9" s="33" t="s">
        <v>126</v>
      </c>
    </row>
    <row r="10" spans="1:11" ht="25.5" customHeight="1" x14ac:dyDescent="0.25">
      <c r="A10" s="23" t="s">
        <v>44</v>
      </c>
      <c r="B10" s="33" t="s">
        <v>45</v>
      </c>
      <c r="C10" s="28" t="s">
        <v>33</v>
      </c>
      <c r="D10" s="46" t="s">
        <v>103</v>
      </c>
      <c r="E10" s="46" t="s">
        <v>44</v>
      </c>
      <c r="F10" s="34" t="s">
        <v>127</v>
      </c>
      <c r="G10" s="47" t="s">
        <v>46</v>
      </c>
      <c r="H10" s="48" t="s">
        <v>105</v>
      </c>
      <c r="I10" s="33" t="s">
        <v>47</v>
      </c>
      <c r="J10" s="33" t="s">
        <v>128</v>
      </c>
      <c r="K10" s="33" t="s">
        <v>129</v>
      </c>
    </row>
    <row r="11" spans="1:11" ht="25.5" customHeight="1" x14ac:dyDescent="0.25">
      <c r="A11" s="23" t="s">
        <v>50</v>
      </c>
      <c r="B11" s="33" t="s">
        <v>51</v>
      </c>
      <c r="C11" s="28" t="s">
        <v>33</v>
      </c>
      <c r="D11" s="46" t="s">
        <v>130</v>
      </c>
      <c r="E11" s="46" t="s">
        <v>50</v>
      </c>
      <c r="F11" s="34" t="s">
        <v>131</v>
      </c>
      <c r="G11" s="47" t="s">
        <v>52</v>
      </c>
      <c r="H11" s="48" t="s">
        <v>105</v>
      </c>
      <c r="I11" s="33" t="s">
        <v>53</v>
      </c>
      <c r="J11" s="33" t="s">
        <v>132</v>
      </c>
      <c r="K11" s="33" t="s">
        <v>133</v>
      </c>
    </row>
    <row r="12" spans="1:11" ht="25.5" customHeight="1" x14ac:dyDescent="0.25">
      <c r="A12" s="32" t="s">
        <v>75</v>
      </c>
      <c r="B12" s="33" t="s">
        <v>76</v>
      </c>
      <c r="C12" s="46" t="s">
        <v>77</v>
      </c>
      <c r="D12" s="46" t="s">
        <v>120</v>
      </c>
      <c r="E12" s="46" t="s">
        <v>75</v>
      </c>
      <c r="F12" s="34" t="s">
        <v>134</v>
      </c>
      <c r="G12" s="47" t="s">
        <v>79</v>
      </c>
      <c r="H12" s="48" t="s">
        <v>105</v>
      </c>
      <c r="I12" s="33" t="s">
        <v>80</v>
      </c>
      <c r="J12" s="33" t="s">
        <v>135</v>
      </c>
      <c r="K12" s="33" t="s">
        <v>136</v>
      </c>
    </row>
    <row r="13" spans="1:11" ht="25.5" customHeight="1" x14ac:dyDescent="0.25">
      <c r="A13" s="15" t="s">
        <v>137</v>
      </c>
      <c r="B13" s="24" t="s">
        <v>138</v>
      </c>
      <c r="C13" s="20" t="s">
        <v>19</v>
      </c>
      <c r="D13" s="28" t="s">
        <v>139</v>
      </c>
      <c r="E13" s="28" t="s">
        <v>137</v>
      </c>
      <c r="F13" s="25" t="s">
        <v>140</v>
      </c>
      <c r="G13" s="49" t="s">
        <v>141</v>
      </c>
      <c r="H13" s="50" t="s">
        <v>142</v>
      </c>
      <c r="I13" s="24" t="s">
        <v>22</v>
      </c>
      <c r="J13" s="24" t="s">
        <v>143</v>
      </c>
      <c r="K13" s="24" t="s">
        <v>144</v>
      </c>
    </row>
    <row r="14" spans="1:11" ht="25.5" customHeight="1" x14ac:dyDescent="0.25">
      <c r="A14" s="23" t="s">
        <v>145</v>
      </c>
      <c r="B14" s="43" t="s">
        <v>146</v>
      </c>
      <c r="C14" s="28" t="s">
        <v>33</v>
      </c>
      <c r="D14" s="51" t="s">
        <v>103</v>
      </c>
      <c r="E14" s="51" t="s">
        <v>145</v>
      </c>
      <c r="F14" s="52" t="s">
        <v>147</v>
      </c>
      <c r="G14" s="53" t="s">
        <v>148</v>
      </c>
      <c r="H14" s="54" t="s">
        <v>149</v>
      </c>
      <c r="I14" s="43" t="s">
        <v>150</v>
      </c>
      <c r="J14" s="43" t="s">
        <v>151</v>
      </c>
      <c r="K14" s="43" t="s">
        <v>152</v>
      </c>
    </row>
    <row r="15" spans="1:11" ht="25.5" customHeight="1" x14ac:dyDescent="0.25">
      <c r="A15" s="23" t="s">
        <v>153</v>
      </c>
      <c r="B15" s="43" t="s">
        <v>154</v>
      </c>
      <c r="C15" s="28" t="s">
        <v>33</v>
      </c>
      <c r="D15" s="51" t="s">
        <v>103</v>
      </c>
      <c r="E15" s="51" t="s">
        <v>153</v>
      </c>
      <c r="F15" s="52" t="s">
        <v>155</v>
      </c>
      <c r="G15" s="53" t="s">
        <v>156</v>
      </c>
      <c r="H15" s="54" t="s">
        <v>149</v>
      </c>
      <c r="I15" s="43" t="s">
        <v>157</v>
      </c>
      <c r="J15" s="43" t="s">
        <v>158</v>
      </c>
      <c r="K15" s="43" t="s">
        <v>159</v>
      </c>
    </row>
    <row r="16" spans="1:11" ht="25.5" customHeight="1" x14ac:dyDescent="0.25">
      <c r="A16" s="23" t="s">
        <v>19</v>
      </c>
      <c r="B16" s="43" t="s">
        <v>160</v>
      </c>
      <c r="C16" s="28" t="s">
        <v>33</v>
      </c>
      <c r="D16" s="51" t="s">
        <v>103</v>
      </c>
      <c r="E16" s="51" t="s">
        <v>19</v>
      </c>
      <c r="F16" s="52" t="s">
        <v>161</v>
      </c>
      <c r="G16" s="53" t="s">
        <v>162</v>
      </c>
      <c r="H16" s="54" t="s">
        <v>149</v>
      </c>
      <c r="I16" s="43" t="s">
        <v>163</v>
      </c>
      <c r="J16" s="43" t="s">
        <v>164</v>
      </c>
      <c r="K16" s="43" t="s">
        <v>165</v>
      </c>
    </row>
    <row r="17" spans="1:11" ht="25.5" customHeight="1" x14ac:dyDescent="0.25">
      <c r="A17" s="23" t="s">
        <v>166</v>
      </c>
      <c r="B17" s="43" t="s">
        <v>167</v>
      </c>
      <c r="C17" s="28" t="s">
        <v>33</v>
      </c>
      <c r="D17" s="51" t="s">
        <v>103</v>
      </c>
      <c r="E17" s="51" t="s">
        <v>166</v>
      </c>
      <c r="F17" s="52" t="s">
        <v>140</v>
      </c>
      <c r="G17" s="52" t="s">
        <v>20</v>
      </c>
      <c r="H17" s="54" t="s">
        <v>149</v>
      </c>
      <c r="I17" s="43" t="s">
        <v>168</v>
      </c>
      <c r="J17" s="43" t="s">
        <v>169</v>
      </c>
      <c r="K17" s="43" t="s">
        <v>170</v>
      </c>
    </row>
    <row r="18" spans="1:11" ht="25.5" customHeight="1" x14ac:dyDescent="0.25">
      <c r="A18" s="23" t="s">
        <v>171</v>
      </c>
      <c r="B18" s="43" t="s">
        <v>172</v>
      </c>
      <c r="C18" s="28" t="s">
        <v>33</v>
      </c>
      <c r="D18" s="51" t="s">
        <v>103</v>
      </c>
      <c r="E18" s="51" t="s">
        <v>171</v>
      </c>
      <c r="F18" s="52" t="s">
        <v>140</v>
      </c>
      <c r="G18" s="52" t="s">
        <v>20</v>
      </c>
      <c r="H18" s="54" t="s">
        <v>149</v>
      </c>
      <c r="I18" s="43" t="s">
        <v>168</v>
      </c>
      <c r="J18" s="43" t="s">
        <v>173</v>
      </c>
      <c r="K18" s="43" t="s">
        <v>174</v>
      </c>
    </row>
    <row r="19" spans="1:11" ht="25.5" customHeight="1" x14ac:dyDescent="0.25">
      <c r="A19" s="23" t="s">
        <v>175</v>
      </c>
      <c r="B19" s="43" t="s">
        <v>176</v>
      </c>
      <c r="C19" s="28" t="s">
        <v>33</v>
      </c>
      <c r="D19" s="51" t="s">
        <v>120</v>
      </c>
      <c r="E19" s="51" t="s">
        <v>175</v>
      </c>
      <c r="F19" s="52" t="s">
        <v>177</v>
      </c>
      <c r="G19" s="53" t="s">
        <v>178</v>
      </c>
      <c r="H19" s="54" t="s">
        <v>149</v>
      </c>
      <c r="I19" s="43" t="s">
        <v>179</v>
      </c>
      <c r="J19" s="43" t="s">
        <v>180</v>
      </c>
      <c r="K19" s="43" t="s">
        <v>181</v>
      </c>
    </row>
    <row r="20" spans="1:11" ht="25.5" customHeight="1" x14ac:dyDescent="0.25">
      <c r="A20" s="23" t="s">
        <v>182</v>
      </c>
      <c r="B20" s="43" t="s">
        <v>183</v>
      </c>
      <c r="C20" s="28" t="s">
        <v>33</v>
      </c>
      <c r="D20" s="51" t="s">
        <v>120</v>
      </c>
      <c r="E20" s="51" t="s">
        <v>182</v>
      </c>
      <c r="F20" s="52" t="s">
        <v>184</v>
      </c>
      <c r="G20" s="53" t="s">
        <v>185</v>
      </c>
      <c r="H20" s="54" t="s">
        <v>149</v>
      </c>
      <c r="I20" s="43" t="s">
        <v>186</v>
      </c>
      <c r="J20" s="43" t="s">
        <v>187</v>
      </c>
      <c r="K20" s="43" t="s">
        <v>188</v>
      </c>
    </row>
    <row r="21" spans="1:11" ht="25.5" customHeight="1" x14ac:dyDescent="0.25">
      <c r="A21" s="23" t="s">
        <v>189</v>
      </c>
      <c r="B21" s="43" t="s">
        <v>190</v>
      </c>
      <c r="C21" s="28" t="s">
        <v>33</v>
      </c>
      <c r="D21" s="51" t="s">
        <v>103</v>
      </c>
      <c r="E21" s="51" t="s">
        <v>189</v>
      </c>
      <c r="F21" s="52" t="s">
        <v>191</v>
      </c>
      <c r="G21" s="53" t="s">
        <v>192</v>
      </c>
      <c r="H21" s="54" t="s">
        <v>149</v>
      </c>
      <c r="I21" s="43" t="s">
        <v>66</v>
      </c>
      <c r="J21" s="43" t="s">
        <v>193</v>
      </c>
      <c r="K21" s="43" t="s">
        <v>194</v>
      </c>
    </row>
    <row r="22" spans="1:11" ht="25.5" customHeight="1" x14ac:dyDescent="0.25">
      <c r="A22" s="23" t="s">
        <v>195</v>
      </c>
      <c r="B22" s="43" t="s">
        <v>196</v>
      </c>
      <c r="C22" s="28" t="s">
        <v>33</v>
      </c>
      <c r="D22" s="51" t="s">
        <v>120</v>
      </c>
      <c r="E22" s="51" t="s">
        <v>195</v>
      </c>
      <c r="F22" s="52" t="s">
        <v>197</v>
      </c>
      <c r="G22" s="53" t="s">
        <v>198</v>
      </c>
      <c r="H22" s="54" t="s">
        <v>149</v>
      </c>
      <c r="I22" s="43" t="s">
        <v>199</v>
      </c>
      <c r="J22" s="43" t="s">
        <v>200</v>
      </c>
      <c r="K22" s="43" t="s">
        <v>201</v>
      </c>
    </row>
    <row r="23" spans="1:11" ht="25.5" customHeight="1" x14ac:dyDescent="0.25">
      <c r="A23" s="23" t="s">
        <v>202</v>
      </c>
      <c r="B23" s="43" t="s">
        <v>203</v>
      </c>
      <c r="C23" s="28" t="s">
        <v>33</v>
      </c>
      <c r="D23" s="51" t="s">
        <v>120</v>
      </c>
      <c r="E23" s="51" t="s">
        <v>202</v>
      </c>
      <c r="F23" s="52" t="s">
        <v>204</v>
      </c>
      <c r="G23" s="52" t="s">
        <v>20</v>
      </c>
      <c r="H23" s="54" t="s">
        <v>149</v>
      </c>
      <c r="I23" s="43" t="s">
        <v>205</v>
      </c>
      <c r="J23" s="43" t="s">
        <v>206</v>
      </c>
      <c r="K23" s="43" t="s">
        <v>207</v>
      </c>
    </row>
    <row r="24" spans="1:11" ht="25.5" customHeight="1" x14ac:dyDescent="0.25">
      <c r="A24" s="23" t="s">
        <v>208</v>
      </c>
      <c r="B24" s="43" t="s">
        <v>209</v>
      </c>
      <c r="C24" s="28" t="s">
        <v>33</v>
      </c>
      <c r="D24" s="51" t="s">
        <v>103</v>
      </c>
      <c r="E24" s="51" t="s">
        <v>208</v>
      </c>
      <c r="F24" s="52" t="s">
        <v>140</v>
      </c>
      <c r="G24" s="52" t="s">
        <v>20</v>
      </c>
      <c r="H24" s="54" t="s">
        <v>149</v>
      </c>
      <c r="I24" s="43" t="s">
        <v>210</v>
      </c>
      <c r="J24" s="43" t="s">
        <v>211</v>
      </c>
      <c r="K24" s="43" t="s">
        <v>212</v>
      </c>
    </row>
    <row r="25" spans="1:11" ht="25.5" customHeight="1" x14ac:dyDescent="0.25">
      <c r="A25" s="23" t="s">
        <v>213</v>
      </c>
      <c r="B25" s="43" t="s">
        <v>214</v>
      </c>
      <c r="C25" s="28" t="s">
        <v>33</v>
      </c>
      <c r="D25" s="51" t="s">
        <v>103</v>
      </c>
      <c r="E25" s="51" t="s">
        <v>213</v>
      </c>
      <c r="F25" s="52" t="s">
        <v>140</v>
      </c>
      <c r="G25" s="52" t="s">
        <v>20</v>
      </c>
      <c r="H25" s="54" t="s">
        <v>149</v>
      </c>
      <c r="I25" s="43" t="s">
        <v>215</v>
      </c>
      <c r="J25" s="43" t="s">
        <v>211</v>
      </c>
      <c r="K25" s="43" t="s">
        <v>216</v>
      </c>
    </row>
    <row r="26" spans="1:11" ht="25.5" customHeight="1" x14ac:dyDescent="0.25">
      <c r="A26" s="23" t="s">
        <v>56</v>
      </c>
      <c r="B26" s="43" t="s">
        <v>217</v>
      </c>
      <c r="C26" s="28" t="s">
        <v>33</v>
      </c>
      <c r="D26" s="51" t="s">
        <v>103</v>
      </c>
      <c r="E26" s="51" t="s">
        <v>56</v>
      </c>
      <c r="F26" s="52" t="s">
        <v>140</v>
      </c>
      <c r="G26" s="52" t="s">
        <v>20</v>
      </c>
      <c r="H26" s="54" t="s">
        <v>149</v>
      </c>
      <c r="I26" s="43" t="s">
        <v>60</v>
      </c>
      <c r="J26" s="43" t="s">
        <v>218</v>
      </c>
      <c r="K26" s="43" t="s">
        <v>219</v>
      </c>
    </row>
    <row r="27" spans="1:11" ht="25.5" customHeight="1" x14ac:dyDescent="0.25">
      <c r="A27" s="23" t="s">
        <v>220</v>
      </c>
      <c r="B27" s="43" t="s">
        <v>221</v>
      </c>
      <c r="C27" s="28" t="s">
        <v>33</v>
      </c>
      <c r="D27" s="51" t="s">
        <v>139</v>
      </c>
      <c r="E27" s="51" t="s">
        <v>220</v>
      </c>
      <c r="F27" s="52" t="s">
        <v>140</v>
      </c>
      <c r="G27" s="52" t="s">
        <v>20</v>
      </c>
      <c r="H27" s="54" t="s">
        <v>149</v>
      </c>
      <c r="I27" s="43" t="s">
        <v>222</v>
      </c>
      <c r="J27" s="43" t="s">
        <v>211</v>
      </c>
      <c r="K27" s="43" t="s">
        <v>223</v>
      </c>
    </row>
    <row r="28" spans="1:11" ht="25.5" customHeight="1" x14ac:dyDescent="0.25">
      <c r="A28" s="23" t="s">
        <v>224</v>
      </c>
      <c r="B28" s="43" t="s">
        <v>225</v>
      </c>
      <c r="C28" s="28" t="s">
        <v>33</v>
      </c>
      <c r="D28" s="51" t="s">
        <v>139</v>
      </c>
      <c r="E28" s="51" t="s">
        <v>224</v>
      </c>
      <c r="F28" s="52" t="s">
        <v>140</v>
      </c>
      <c r="G28" s="52" t="s">
        <v>20</v>
      </c>
      <c r="H28" s="54" t="s">
        <v>149</v>
      </c>
      <c r="I28" s="43" t="s">
        <v>222</v>
      </c>
      <c r="J28" s="43" t="s">
        <v>211</v>
      </c>
      <c r="K28" s="43" t="s">
        <v>226</v>
      </c>
    </row>
    <row r="29" spans="1:11" ht="25.5" customHeight="1" x14ac:dyDescent="0.25">
      <c r="A29" s="23" t="s">
        <v>227</v>
      </c>
      <c r="B29" s="43" t="s">
        <v>228</v>
      </c>
      <c r="C29" s="28" t="s">
        <v>33</v>
      </c>
      <c r="D29" s="51" t="s">
        <v>139</v>
      </c>
      <c r="E29" s="51" t="s">
        <v>227</v>
      </c>
      <c r="F29" s="52" t="s">
        <v>140</v>
      </c>
      <c r="G29" s="52" t="s">
        <v>20</v>
      </c>
      <c r="H29" s="54" t="s">
        <v>149</v>
      </c>
      <c r="I29" s="43" t="s">
        <v>222</v>
      </c>
      <c r="J29" s="43" t="s">
        <v>211</v>
      </c>
      <c r="K29" s="43" t="s">
        <v>229</v>
      </c>
    </row>
    <row r="30" spans="1:11" ht="25.5" customHeight="1" x14ac:dyDescent="0.25">
      <c r="A30" s="23" t="s">
        <v>230</v>
      </c>
      <c r="B30" s="43" t="s">
        <v>231</v>
      </c>
      <c r="C30" s="28" t="s">
        <v>33</v>
      </c>
      <c r="D30" s="51" t="s">
        <v>139</v>
      </c>
      <c r="E30" s="51" t="s">
        <v>230</v>
      </c>
      <c r="F30" s="52" t="s">
        <v>140</v>
      </c>
      <c r="G30" s="52" t="s">
        <v>20</v>
      </c>
      <c r="H30" s="54" t="s">
        <v>149</v>
      </c>
      <c r="I30" s="43" t="s">
        <v>222</v>
      </c>
      <c r="J30" s="43" t="s">
        <v>211</v>
      </c>
      <c r="K30" s="43" t="s">
        <v>232</v>
      </c>
    </row>
    <row r="31" spans="1:11" ht="25.5" customHeight="1" x14ac:dyDescent="0.25">
      <c r="A31" s="23" t="s">
        <v>233</v>
      </c>
      <c r="B31" s="43" t="s">
        <v>234</v>
      </c>
      <c r="C31" s="28" t="s">
        <v>33</v>
      </c>
      <c r="D31" s="51" t="s">
        <v>235</v>
      </c>
      <c r="E31" s="51" t="s">
        <v>236</v>
      </c>
      <c r="F31" s="52" t="s">
        <v>140</v>
      </c>
      <c r="G31" s="52" t="s">
        <v>20</v>
      </c>
      <c r="H31" s="54" t="s">
        <v>149</v>
      </c>
      <c r="I31" s="43" t="s">
        <v>237</v>
      </c>
      <c r="J31" s="43" t="s">
        <v>211</v>
      </c>
      <c r="K31" s="43" t="s">
        <v>238</v>
      </c>
    </row>
    <row r="32" spans="1:11" ht="25.5" customHeight="1" x14ac:dyDescent="0.25">
      <c r="A32" s="32" t="s">
        <v>239</v>
      </c>
      <c r="B32" s="43" t="s">
        <v>240</v>
      </c>
      <c r="C32" s="46" t="s">
        <v>77</v>
      </c>
      <c r="D32" s="51" t="s">
        <v>120</v>
      </c>
      <c r="E32" s="51" t="s">
        <v>239</v>
      </c>
      <c r="F32" s="52" t="s">
        <v>140</v>
      </c>
      <c r="G32" s="53" t="s">
        <v>241</v>
      </c>
      <c r="H32" s="54" t="s">
        <v>149</v>
      </c>
      <c r="I32" s="43" t="s">
        <v>242</v>
      </c>
      <c r="J32" s="43" t="s">
        <v>243</v>
      </c>
      <c r="K32" s="43" t="s">
        <v>244</v>
      </c>
    </row>
    <row r="33" spans="1:11" ht="25.5" customHeight="1" x14ac:dyDescent="0.25">
      <c r="A33" s="32" t="s">
        <v>245</v>
      </c>
      <c r="B33" s="43" t="s">
        <v>246</v>
      </c>
      <c r="C33" s="46" t="s">
        <v>77</v>
      </c>
      <c r="D33" s="51" t="s">
        <v>120</v>
      </c>
      <c r="E33" s="51" t="s">
        <v>245</v>
      </c>
      <c r="F33" s="52" t="s">
        <v>140</v>
      </c>
      <c r="G33" s="53" t="s">
        <v>247</v>
      </c>
      <c r="H33" s="54" t="s">
        <v>149</v>
      </c>
      <c r="I33" s="43" t="s">
        <v>248</v>
      </c>
      <c r="J33" s="43" t="s">
        <v>249</v>
      </c>
      <c r="K33" s="43" t="s">
        <v>250</v>
      </c>
    </row>
    <row r="34" spans="1:11" ht="25.5" customHeight="1" x14ac:dyDescent="0.25">
      <c r="A34" s="32" t="s">
        <v>251</v>
      </c>
      <c r="B34" s="43" t="s">
        <v>252</v>
      </c>
      <c r="C34" s="46" t="s">
        <v>77</v>
      </c>
      <c r="D34" s="51" t="s">
        <v>253</v>
      </c>
      <c r="E34" s="51" t="s">
        <v>251</v>
      </c>
      <c r="F34" s="52" t="s">
        <v>140</v>
      </c>
      <c r="G34" s="52" t="s">
        <v>20</v>
      </c>
      <c r="H34" s="54" t="s">
        <v>149</v>
      </c>
      <c r="I34" s="43" t="s">
        <v>254</v>
      </c>
      <c r="J34" s="43" t="s">
        <v>255</v>
      </c>
      <c r="K34" s="43" t="s">
        <v>256</v>
      </c>
    </row>
    <row r="35" spans="1:11" ht="25.5" customHeight="1" x14ac:dyDescent="0.25">
      <c r="A35" s="32" t="s">
        <v>257</v>
      </c>
      <c r="B35" s="43" t="s">
        <v>258</v>
      </c>
      <c r="C35" s="46" t="s">
        <v>77</v>
      </c>
      <c r="D35" s="51" t="s">
        <v>120</v>
      </c>
      <c r="E35" s="51" t="s">
        <v>257</v>
      </c>
      <c r="F35" s="52" t="s">
        <v>140</v>
      </c>
      <c r="G35" s="53" t="s">
        <v>259</v>
      </c>
      <c r="H35" s="54" t="s">
        <v>149</v>
      </c>
      <c r="I35" s="43" t="s">
        <v>260</v>
      </c>
      <c r="J35" s="43" t="s">
        <v>261</v>
      </c>
      <c r="K35" s="43" t="s">
        <v>262</v>
      </c>
    </row>
    <row r="36" spans="1:11" ht="25.5" customHeight="1" x14ac:dyDescent="0.25">
      <c r="A36" s="32" t="s">
        <v>263</v>
      </c>
      <c r="B36" s="43" t="s">
        <v>264</v>
      </c>
      <c r="C36" s="46" t="s">
        <v>77</v>
      </c>
      <c r="D36" s="51" t="s">
        <v>120</v>
      </c>
      <c r="E36" s="51" t="s">
        <v>263</v>
      </c>
      <c r="F36" s="52" t="s">
        <v>265</v>
      </c>
      <c r="G36" s="53" t="s">
        <v>266</v>
      </c>
      <c r="H36" s="54" t="s">
        <v>149</v>
      </c>
      <c r="I36" s="43" t="s">
        <v>267</v>
      </c>
      <c r="J36" s="43" t="s">
        <v>268</v>
      </c>
      <c r="K36" s="43" t="s">
        <v>269</v>
      </c>
    </row>
    <row r="37" spans="1:11" ht="25.5" customHeight="1" x14ac:dyDescent="0.25">
      <c r="A37" s="32" t="s">
        <v>270</v>
      </c>
      <c r="B37" s="43" t="s">
        <v>271</v>
      </c>
      <c r="C37" s="46" t="s">
        <v>77</v>
      </c>
      <c r="D37" s="51" t="s">
        <v>120</v>
      </c>
      <c r="E37" s="51" t="s">
        <v>270</v>
      </c>
      <c r="F37" s="52" t="s">
        <v>272</v>
      </c>
      <c r="G37" s="53" t="s">
        <v>273</v>
      </c>
      <c r="H37" s="54" t="s">
        <v>149</v>
      </c>
      <c r="I37" s="43" t="s">
        <v>274</v>
      </c>
      <c r="J37" s="43" t="s">
        <v>275</v>
      </c>
      <c r="K37" s="43" t="s">
        <v>276</v>
      </c>
    </row>
    <row r="38" spans="1:11" ht="25.5" customHeight="1" x14ac:dyDescent="0.25">
      <c r="A38" s="32" t="s">
        <v>277</v>
      </c>
      <c r="B38" s="43" t="s">
        <v>278</v>
      </c>
      <c r="C38" s="46" t="s">
        <v>77</v>
      </c>
      <c r="D38" s="51" t="s">
        <v>120</v>
      </c>
      <c r="E38" s="51" t="s">
        <v>277</v>
      </c>
      <c r="F38" s="52" t="s">
        <v>279</v>
      </c>
      <c r="G38" s="52" t="s">
        <v>20</v>
      </c>
      <c r="H38" s="54" t="s">
        <v>149</v>
      </c>
      <c r="I38" s="43" t="s">
        <v>280</v>
      </c>
      <c r="J38" s="43" t="s">
        <v>281</v>
      </c>
      <c r="K38" s="43" t="s">
        <v>282</v>
      </c>
    </row>
    <row r="39" spans="1:11" ht="25.5" customHeight="1" x14ac:dyDescent="0.25">
      <c r="A39" s="32" t="s">
        <v>283</v>
      </c>
      <c r="B39" s="43" t="s">
        <v>284</v>
      </c>
      <c r="C39" s="46" t="s">
        <v>77</v>
      </c>
      <c r="D39" s="51" t="s">
        <v>103</v>
      </c>
      <c r="E39" s="51" t="s">
        <v>283</v>
      </c>
      <c r="F39" s="52" t="s">
        <v>285</v>
      </c>
      <c r="G39" s="52" t="s">
        <v>20</v>
      </c>
      <c r="H39" s="54" t="s">
        <v>149</v>
      </c>
      <c r="I39" s="43" t="s">
        <v>286</v>
      </c>
      <c r="J39" s="43" t="s">
        <v>287</v>
      </c>
      <c r="K39" s="43" t="s">
        <v>288</v>
      </c>
    </row>
    <row r="40" spans="1:11" ht="25.5" customHeight="1" x14ac:dyDescent="0.25">
      <c r="A40" s="32" t="s">
        <v>289</v>
      </c>
      <c r="B40" s="43" t="s">
        <v>290</v>
      </c>
      <c r="C40" s="46" t="s">
        <v>77</v>
      </c>
      <c r="D40" s="51" t="s">
        <v>120</v>
      </c>
      <c r="E40" s="51" t="s">
        <v>289</v>
      </c>
      <c r="F40" s="52" t="s">
        <v>291</v>
      </c>
      <c r="G40" s="53" t="s">
        <v>292</v>
      </c>
      <c r="H40" s="54" t="s">
        <v>149</v>
      </c>
      <c r="I40" s="43" t="s">
        <v>293</v>
      </c>
      <c r="J40" s="43" t="s">
        <v>294</v>
      </c>
      <c r="K40" s="43" t="s">
        <v>295</v>
      </c>
    </row>
    <row r="41" spans="1:11" ht="25.5" customHeight="1" x14ac:dyDescent="0.25">
      <c r="A41" s="32" t="s">
        <v>189</v>
      </c>
      <c r="B41" s="43" t="s">
        <v>190</v>
      </c>
      <c r="C41" s="46" t="s">
        <v>77</v>
      </c>
      <c r="D41" s="51" t="s">
        <v>103</v>
      </c>
      <c r="E41" s="51" t="s">
        <v>189</v>
      </c>
      <c r="F41" s="52" t="s">
        <v>191</v>
      </c>
      <c r="G41" s="53" t="s">
        <v>192</v>
      </c>
      <c r="H41" s="54" t="s">
        <v>149</v>
      </c>
      <c r="I41" s="43" t="s">
        <v>66</v>
      </c>
      <c r="J41" s="43" t="s">
        <v>296</v>
      </c>
      <c r="K41" s="43" t="s">
        <v>194</v>
      </c>
    </row>
    <row r="42" spans="1:11" ht="25.5" customHeight="1" x14ac:dyDescent="0.25">
      <c r="A42" s="15" t="s">
        <v>297</v>
      </c>
      <c r="B42" s="43" t="s">
        <v>298</v>
      </c>
      <c r="C42" s="20" t="s">
        <v>19</v>
      </c>
      <c r="D42" s="51" t="s">
        <v>120</v>
      </c>
      <c r="E42" s="51" t="s">
        <v>297</v>
      </c>
      <c r="F42" s="52" t="s">
        <v>299</v>
      </c>
      <c r="G42" s="53" t="s">
        <v>300</v>
      </c>
      <c r="H42" s="54" t="s">
        <v>149</v>
      </c>
      <c r="I42" s="43" t="s">
        <v>301</v>
      </c>
      <c r="J42" s="43" t="s">
        <v>106</v>
      </c>
      <c r="K42" s="43" t="s">
        <v>302</v>
      </c>
    </row>
    <row r="43" spans="1:11" ht="25.5" customHeight="1" x14ac:dyDescent="0.25">
      <c r="A43" s="15" t="s">
        <v>303</v>
      </c>
      <c r="B43" s="43" t="s">
        <v>304</v>
      </c>
      <c r="C43" s="20" t="s">
        <v>19</v>
      </c>
      <c r="D43" s="51" t="s">
        <v>103</v>
      </c>
      <c r="E43" s="51" t="s">
        <v>303</v>
      </c>
      <c r="F43" s="52" t="s">
        <v>305</v>
      </c>
      <c r="G43" s="53" t="s">
        <v>178</v>
      </c>
      <c r="H43" s="54" t="s">
        <v>149</v>
      </c>
      <c r="I43" s="43" t="s">
        <v>306</v>
      </c>
      <c r="J43" s="43" t="s">
        <v>307</v>
      </c>
      <c r="K43" s="43" t="s">
        <v>308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14" customWidth="1"/>
    <col min="3" max="3" width="38" customWidth="1"/>
    <col min="4" max="4" width="12" customWidth="1"/>
    <col min="5" max="5" width="30" customWidth="1"/>
    <col min="6" max="7" width="34" customWidth="1"/>
  </cols>
  <sheetData>
    <row r="1" spans="1:7" ht="27.75" customHeight="1" x14ac:dyDescent="0.25">
      <c r="A1" s="7" t="s">
        <v>309</v>
      </c>
      <c r="B1" s="7"/>
      <c r="C1" s="7"/>
      <c r="D1" s="7"/>
      <c r="E1" s="7"/>
      <c r="F1" s="7"/>
      <c r="G1" s="7"/>
    </row>
    <row r="2" spans="1:7" ht="15" customHeight="1" x14ac:dyDescent="0.25">
      <c r="A2" s="13" t="s">
        <v>310</v>
      </c>
      <c r="B2" s="13" t="s">
        <v>311</v>
      </c>
      <c r="C2" s="13" t="s">
        <v>312</v>
      </c>
      <c r="D2" s="13" t="s">
        <v>313</v>
      </c>
      <c r="E2" s="13" t="s">
        <v>314</v>
      </c>
      <c r="F2" s="13" t="s">
        <v>315</v>
      </c>
      <c r="G2" s="13" t="s">
        <v>16</v>
      </c>
    </row>
    <row r="3" spans="1:7" ht="30" customHeight="1" x14ac:dyDescent="0.25">
      <c r="A3" s="55" t="s">
        <v>316</v>
      </c>
      <c r="B3" s="55" t="s">
        <v>75</v>
      </c>
      <c r="C3" s="55" t="s">
        <v>317</v>
      </c>
      <c r="D3" s="56" t="s">
        <v>318</v>
      </c>
      <c r="E3" s="55" t="s">
        <v>319</v>
      </c>
      <c r="F3" s="55" t="s">
        <v>320</v>
      </c>
      <c r="G3" s="55" t="s">
        <v>321</v>
      </c>
    </row>
    <row r="4" spans="1:7" ht="30" customHeight="1" x14ac:dyDescent="0.25">
      <c r="A4" s="55" t="s">
        <v>322</v>
      </c>
      <c r="B4" s="55" t="s">
        <v>25</v>
      </c>
      <c r="C4" s="55" t="s">
        <v>323</v>
      </c>
      <c r="D4" s="56" t="s">
        <v>318</v>
      </c>
      <c r="E4" s="55" t="s">
        <v>324</v>
      </c>
      <c r="F4" s="55" t="s">
        <v>325</v>
      </c>
      <c r="G4" s="55" t="s">
        <v>326</v>
      </c>
    </row>
    <row r="5" spans="1:7" ht="30" customHeight="1" x14ac:dyDescent="0.25">
      <c r="A5" s="55" t="s">
        <v>327</v>
      </c>
      <c r="B5" s="55" t="s">
        <v>328</v>
      </c>
      <c r="C5" s="55" t="s">
        <v>329</v>
      </c>
      <c r="D5" s="56" t="s">
        <v>318</v>
      </c>
      <c r="E5" s="55" t="s">
        <v>330</v>
      </c>
      <c r="F5" s="55" t="s">
        <v>331</v>
      </c>
      <c r="G5" s="55" t="s">
        <v>332</v>
      </c>
    </row>
    <row r="6" spans="1:7" ht="30" customHeight="1" x14ac:dyDescent="0.25">
      <c r="A6" s="55" t="s">
        <v>327</v>
      </c>
      <c r="B6" s="55" t="s">
        <v>333</v>
      </c>
      <c r="C6" s="55" t="s">
        <v>334</v>
      </c>
      <c r="D6" s="56" t="s">
        <v>318</v>
      </c>
      <c r="E6" s="55" t="s">
        <v>335</v>
      </c>
      <c r="F6" s="55" t="s">
        <v>336</v>
      </c>
      <c r="G6" s="55" t="s">
        <v>337</v>
      </c>
    </row>
    <row r="7" spans="1:7" ht="30" customHeight="1" x14ac:dyDescent="0.25">
      <c r="A7" s="24" t="s">
        <v>338</v>
      </c>
      <c r="B7" s="24" t="s">
        <v>277</v>
      </c>
      <c r="C7" s="24" t="s">
        <v>339</v>
      </c>
      <c r="D7" s="57" t="s">
        <v>340</v>
      </c>
      <c r="E7" s="24" t="s">
        <v>341</v>
      </c>
      <c r="F7" s="24" t="s">
        <v>342</v>
      </c>
      <c r="G7" s="24" t="s">
        <v>343</v>
      </c>
    </row>
    <row r="8" spans="1:7" ht="30" customHeight="1" x14ac:dyDescent="0.25">
      <c r="A8" s="24" t="s">
        <v>344</v>
      </c>
      <c r="B8" s="24" t="s">
        <v>145</v>
      </c>
      <c r="C8" s="24" t="s">
        <v>345</v>
      </c>
      <c r="D8" s="57" t="s">
        <v>340</v>
      </c>
      <c r="E8" s="24" t="s">
        <v>346</v>
      </c>
      <c r="F8" s="24" t="s">
        <v>347</v>
      </c>
      <c r="G8" s="24" t="s">
        <v>348</v>
      </c>
    </row>
    <row r="9" spans="1:7" ht="30" customHeight="1" x14ac:dyDescent="0.25">
      <c r="A9" s="33" t="s">
        <v>349</v>
      </c>
      <c r="B9" s="33" t="s">
        <v>202</v>
      </c>
      <c r="C9" s="33" t="s">
        <v>350</v>
      </c>
      <c r="D9" s="58" t="s">
        <v>351</v>
      </c>
      <c r="E9" s="33" t="s">
        <v>352</v>
      </c>
      <c r="F9" s="33" t="s">
        <v>353</v>
      </c>
      <c r="G9" s="33" t="s">
        <v>207</v>
      </c>
    </row>
    <row r="10" spans="1:7" ht="30" customHeight="1" x14ac:dyDescent="0.25">
      <c r="A10" s="24" t="s">
        <v>354</v>
      </c>
      <c r="B10" s="24" t="s">
        <v>355</v>
      </c>
      <c r="C10" s="24" t="s">
        <v>356</v>
      </c>
      <c r="D10" s="57" t="s">
        <v>340</v>
      </c>
      <c r="E10" s="24" t="s">
        <v>357</v>
      </c>
      <c r="F10" s="24" t="s">
        <v>358</v>
      </c>
      <c r="G10" s="24" t="s">
        <v>359</v>
      </c>
    </row>
    <row r="11" spans="1:7" ht="30" customHeight="1" x14ac:dyDescent="0.25">
      <c r="A11" s="24" t="s">
        <v>360</v>
      </c>
      <c r="B11" s="24" t="s">
        <v>38</v>
      </c>
      <c r="C11" s="24" t="s">
        <v>361</v>
      </c>
      <c r="D11" s="57" t="s">
        <v>340</v>
      </c>
      <c r="E11" s="24" t="s">
        <v>362</v>
      </c>
      <c r="F11" s="24" t="s">
        <v>363</v>
      </c>
      <c r="G11" s="24" t="s">
        <v>364</v>
      </c>
    </row>
    <row r="12" spans="1:7" ht="30" customHeight="1" x14ac:dyDescent="0.25">
      <c r="A12" s="24" t="s">
        <v>365</v>
      </c>
      <c r="B12" s="24" t="s">
        <v>366</v>
      </c>
      <c r="C12" s="24" t="s">
        <v>367</v>
      </c>
      <c r="D12" s="57" t="s">
        <v>340</v>
      </c>
      <c r="E12" s="24" t="s">
        <v>368</v>
      </c>
      <c r="F12" s="24" t="s">
        <v>369</v>
      </c>
      <c r="G12" s="24" t="s">
        <v>370</v>
      </c>
    </row>
    <row r="13" spans="1:7" ht="30" customHeight="1" x14ac:dyDescent="0.25">
      <c r="A13" s="24" t="s">
        <v>371</v>
      </c>
      <c r="B13" s="24" t="s">
        <v>220</v>
      </c>
      <c r="C13" s="24" t="s">
        <v>372</v>
      </c>
      <c r="D13" s="57" t="s">
        <v>340</v>
      </c>
      <c r="E13" s="24" t="s">
        <v>373</v>
      </c>
      <c r="F13" s="24" t="s">
        <v>374</v>
      </c>
      <c r="G13" s="24" t="s">
        <v>375</v>
      </c>
    </row>
    <row r="14" spans="1:7" ht="30" customHeight="1" x14ac:dyDescent="0.25">
      <c r="A14" s="55" t="s">
        <v>376</v>
      </c>
      <c r="B14" s="55" t="s">
        <v>63</v>
      </c>
      <c r="C14" s="55" t="s">
        <v>377</v>
      </c>
      <c r="D14" s="59" t="s">
        <v>378</v>
      </c>
      <c r="E14" s="55" t="s">
        <v>379</v>
      </c>
      <c r="F14" s="55" t="s">
        <v>380</v>
      </c>
      <c r="G14" s="55" t="s">
        <v>381</v>
      </c>
    </row>
    <row r="15" spans="1:7" ht="30" customHeight="1" x14ac:dyDescent="0.25">
      <c r="A15" s="24" t="s">
        <v>382</v>
      </c>
      <c r="B15" s="24" t="s">
        <v>383</v>
      </c>
      <c r="C15" s="24" t="s">
        <v>384</v>
      </c>
      <c r="D15" s="57" t="s">
        <v>340</v>
      </c>
      <c r="E15" s="24" t="s">
        <v>385</v>
      </c>
      <c r="F15" s="24" t="s">
        <v>386</v>
      </c>
      <c r="G15" s="24" t="s">
        <v>387</v>
      </c>
    </row>
    <row r="16" spans="1:7" ht="30" customHeight="1" x14ac:dyDescent="0.25">
      <c r="A16" s="24" t="s">
        <v>388</v>
      </c>
      <c r="B16" s="24" t="s">
        <v>50</v>
      </c>
      <c r="C16" s="24" t="s">
        <v>389</v>
      </c>
      <c r="D16" s="57" t="s">
        <v>340</v>
      </c>
      <c r="E16" s="24" t="s">
        <v>390</v>
      </c>
      <c r="F16" s="24" t="s">
        <v>391</v>
      </c>
      <c r="G16" s="24" t="s">
        <v>392</v>
      </c>
    </row>
    <row r="17" spans="1:7" ht="30" customHeight="1" x14ac:dyDescent="0.25">
      <c r="A17" s="55" t="s">
        <v>393</v>
      </c>
      <c r="B17" s="55" t="s">
        <v>394</v>
      </c>
      <c r="C17" s="55" t="s">
        <v>395</v>
      </c>
      <c r="D17" s="56" t="s">
        <v>318</v>
      </c>
      <c r="E17" s="55" t="s">
        <v>396</v>
      </c>
      <c r="F17" s="55" t="s">
        <v>397</v>
      </c>
      <c r="G17" s="55" t="s">
        <v>398</v>
      </c>
    </row>
    <row r="18" spans="1:7" ht="30" customHeight="1" x14ac:dyDescent="0.25">
      <c r="A18" s="24" t="s">
        <v>393</v>
      </c>
      <c r="B18" s="24" t="s">
        <v>399</v>
      </c>
      <c r="C18" s="24" t="s">
        <v>400</v>
      </c>
      <c r="D18" s="57" t="s">
        <v>340</v>
      </c>
      <c r="E18" s="24" t="s">
        <v>401</v>
      </c>
      <c r="F18" s="24" t="s">
        <v>402</v>
      </c>
      <c r="G18" s="24" t="s">
        <v>403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2" width="7" customWidth="1"/>
    <col min="3" max="3" width="6" customWidth="1"/>
    <col min="4" max="4" width="7" customWidth="1"/>
    <col min="5" max="5" width="11" customWidth="1"/>
    <col min="6" max="7" width="10" customWidth="1"/>
    <col min="8" max="9" width="9" customWidth="1"/>
    <col min="10" max="10" width="11" customWidth="1"/>
  </cols>
  <sheetData>
    <row r="1" spans="1:10" ht="27.75" customHeight="1" x14ac:dyDescent="0.25">
      <c r="A1" s="7" t="s">
        <v>404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5">
      <c r="A2" s="13" t="s">
        <v>310</v>
      </c>
      <c r="B2" s="13" t="s">
        <v>6</v>
      </c>
      <c r="C2" s="13" t="s">
        <v>315</v>
      </c>
      <c r="D2" s="13" t="s">
        <v>9</v>
      </c>
      <c r="E2" s="13" t="s">
        <v>405</v>
      </c>
      <c r="F2" s="13" t="s">
        <v>406</v>
      </c>
      <c r="G2" s="13" t="s">
        <v>407</v>
      </c>
      <c r="H2" s="13" t="s">
        <v>408</v>
      </c>
      <c r="I2" s="13" t="s">
        <v>13</v>
      </c>
      <c r="J2" s="13" t="s">
        <v>100</v>
      </c>
    </row>
    <row r="3" spans="1:10" ht="19.5" customHeight="1" x14ac:dyDescent="0.25">
      <c r="A3" s="28" t="s">
        <v>409</v>
      </c>
      <c r="B3" s="22" t="s">
        <v>17</v>
      </c>
      <c r="C3" s="28" t="s">
        <v>410</v>
      </c>
      <c r="D3" s="25">
        <v>36</v>
      </c>
      <c r="E3" s="25">
        <v>275</v>
      </c>
      <c r="F3" s="25" t="s">
        <v>20</v>
      </c>
      <c r="G3" s="25">
        <v>9900</v>
      </c>
      <c r="H3" s="24" t="s">
        <v>411</v>
      </c>
      <c r="I3" s="28" t="s">
        <v>412</v>
      </c>
      <c r="J3" s="22" t="s">
        <v>413</v>
      </c>
    </row>
    <row r="4" spans="1:10" ht="19.5" customHeight="1" x14ac:dyDescent="0.25">
      <c r="A4" s="28" t="s">
        <v>409</v>
      </c>
      <c r="B4" s="22" t="s">
        <v>25</v>
      </c>
      <c r="C4" s="28" t="s">
        <v>410</v>
      </c>
      <c r="D4" s="25">
        <v>240</v>
      </c>
      <c r="E4" s="25">
        <v>25.25</v>
      </c>
      <c r="F4" s="25" t="s">
        <v>20</v>
      </c>
      <c r="G4" s="25">
        <v>6060</v>
      </c>
      <c r="H4" s="24" t="s">
        <v>27</v>
      </c>
      <c r="I4" s="28" t="s">
        <v>28</v>
      </c>
      <c r="J4" s="22" t="s">
        <v>413</v>
      </c>
    </row>
    <row r="5" spans="1:10" ht="19.5" customHeight="1" x14ac:dyDescent="0.25">
      <c r="A5" s="28" t="s">
        <v>409</v>
      </c>
      <c r="B5" s="22" t="s">
        <v>31</v>
      </c>
      <c r="C5" s="28" t="s">
        <v>410</v>
      </c>
      <c r="D5" s="25">
        <v>150</v>
      </c>
      <c r="E5" s="25">
        <v>33.5</v>
      </c>
      <c r="F5" s="25" t="s">
        <v>20</v>
      </c>
      <c r="G5" s="25">
        <v>5025</v>
      </c>
      <c r="H5" s="24" t="s">
        <v>27</v>
      </c>
      <c r="I5" s="28" t="s">
        <v>414</v>
      </c>
      <c r="J5" s="22" t="s">
        <v>413</v>
      </c>
    </row>
    <row r="6" spans="1:10" ht="19.5" customHeight="1" x14ac:dyDescent="0.25">
      <c r="A6" s="28" t="s">
        <v>409</v>
      </c>
      <c r="B6" s="22" t="s">
        <v>38</v>
      </c>
      <c r="C6" s="28" t="s">
        <v>410</v>
      </c>
      <c r="D6" s="25">
        <v>49</v>
      </c>
      <c r="E6" s="25">
        <v>101</v>
      </c>
      <c r="F6" s="25" t="s">
        <v>20</v>
      </c>
      <c r="G6" s="25">
        <v>4949</v>
      </c>
      <c r="H6" s="24" t="s">
        <v>411</v>
      </c>
      <c r="I6" s="28" t="s">
        <v>415</v>
      </c>
      <c r="J6" s="22" t="s">
        <v>413</v>
      </c>
    </row>
    <row r="7" spans="1:10" ht="19.5" customHeight="1" x14ac:dyDescent="0.25">
      <c r="A7" s="28" t="s">
        <v>409</v>
      </c>
      <c r="B7" s="22" t="s">
        <v>44</v>
      </c>
      <c r="C7" s="28" t="s">
        <v>410</v>
      </c>
      <c r="D7" s="25">
        <v>13</v>
      </c>
      <c r="E7" s="25">
        <v>187</v>
      </c>
      <c r="F7" s="25" t="s">
        <v>20</v>
      </c>
      <c r="G7" s="25">
        <v>2431</v>
      </c>
      <c r="H7" s="24" t="s">
        <v>411</v>
      </c>
      <c r="I7" s="28" t="s">
        <v>416</v>
      </c>
      <c r="J7" s="22" t="s">
        <v>413</v>
      </c>
    </row>
    <row r="8" spans="1:10" ht="19.5" customHeight="1" x14ac:dyDescent="0.25">
      <c r="A8" s="28" t="s">
        <v>409</v>
      </c>
      <c r="B8" s="22" t="s">
        <v>50</v>
      </c>
      <c r="C8" s="28" t="s">
        <v>410</v>
      </c>
      <c r="D8" s="25">
        <v>206</v>
      </c>
      <c r="E8" s="25">
        <v>12.1</v>
      </c>
      <c r="F8" s="25" t="s">
        <v>20</v>
      </c>
      <c r="G8" s="25">
        <v>2493</v>
      </c>
      <c r="H8" s="24" t="s">
        <v>411</v>
      </c>
      <c r="I8" s="28" t="s">
        <v>52</v>
      </c>
      <c r="J8" s="22" t="s">
        <v>413</v>
      </c>
    </row>
    <row r="9" spans="1:10" ht="19.5" customHeight="1" x14ac:dyDescent="0.25">
      <c r="A9" s="28" t="s">
        <v>409</v>
      </c>
      <c r="B9" s="22" t="s">
        <v>56</v>
      </c>
      <c r="C9" s="28" t="s">
        <v>410</v>
      </c>
      <c r="D9" s="25">
        <v>53</v>
      </c>
      <c r="E9" s="25">
        <v>151</v>
      </c>
      <c r="F9" s="25" t="s">
        <v>20</v>
      </c>
      <c r="G9" s="25">
        <v>8003</v>
      </c>
      <c r="H9" s="24" t="s">
        <v>417</v>
      </c>
      <c r="I9" s="28" t="s">
        <v>418</v>
      </c>
      <c r="J9" s="22" t="s">
        <v>413</v>
      </c>
    </row>
    <row r="10" spans="1:10" ht="19.5" customHeight="1" x14ac:dyDescent="0.25">
      <c r="A10" s="28" t="s">
        <v>409</v>
      </c>
      <c r="B10" s="22" t="s">
        <v>63</v>
      </c>
      <c r="C10" s="28" t="s">
        <v>410</v>
      </c>
      <c r="D10" s="25">
        <v>49</v>
      </c>
      <c r="E10" s="25">
        <v>161</v>
      </c>
      <c r="F10" s="25" t="s">
        <v>20</v>
      </c>
      <c r="G10" s="25">
        <v>7889</v>
      </c>
      <c r="H10" s="24" t="s">
        <v>417</v>
      </c>
      <c r="I10" s="28" t="s">
        <v>419</v>
      </c>
      <c r="J10" s="22" t="s">
        <v>413</v>
      </c>
    </row>
    <row r="11" spans="1:10" ht="19.5" customHeight="1" x14ac:dyDescent="0.25">
      <c r="A11" s="28" t="s">
        <v>409</v>
      </c>
      <c r="B11" s="22" t="s">
        <v>69</v>
      </c>
      <c r="C11" s="28" t="s">
        <v>410</v>
      </c>
      <c r="D11" s="25">
        <v>69</v>
      </c>
      <c r="E11" s="25">
        <v>72.25</v>
      </c>
      <c r="F11" s="25" t="s">
        <v>20</v>
      </c>
      <c r="G11" s="25">
        <v>4985</v>
      </c>
      <c r="H11" s="24" t="s">
        <v>420</v>
      </c>
      <c r="I11" s="28" t="s">
        <v>421</v>
      </c>
      <c r="J11" s="22" t="s">
        <v>413</v>
      </c>
    </row>
    <row r="12" spans="1:10" ht="19.5" customHeight="1" x14ac:dyDescent="0.25">
      <c r="A12" s="28" t="s">
        <v>409</v>
      </c>
      <c r="B12" s="22" t="s">
        <v>75</v>
      </c>
      <c r="C12" s="28" t="s">
        <v>410</v>
      </c>
      <c r="D12" s="25">
        <v>250</v>
      </c>
      <c r="E12" s="25">
        <v>10.97</v>
      </c>
      <c r="F12" s="25" t="s">
        <v>20</v>
      </c>
      <c r="G12" s="25">
        <v>2743</v>
      </c>
      <c r="H12" s="24" t="s">
        <v>78</v>
      </c>
      <c r="I12" s="28" t="s">
        <v>422</v>
      </c>
      <c r="J12" s="22" t="s">
        <v>413</v>
      </c>
    </row>
    <row r="13" spans="1:10" ht="15" customHeight="1" x14ac:dyDescent="0.25">
      <c r="A13" s="6" t="s">
        <v>423</v>
      </c>
      <c r="B13" s="6"/>
      <c r="C13" s="6"/>
      <c r="D13" s="6"/>
      <c r="E13" s="6"/>
      <c r="F13" s="6"/>
      <c r="G13" s="60">
        <f>SUM(G3:G12)</f>
        <v>54478</v>
      </c>
      <c r="H13" s="61"/>
      <c r="I13" s="61"/>
      <c r="J13" s="61"/>
    </row>
  </sheetData>
  <mergeCells count="2">
    <mergeCell ref="A1:J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showGridLines="0" zoomScaleNormal="100" workbookViewId="0"/>
  </sheetViews>
  <sheetFormatPr defaultColWidth="8.7109375" defaultRowHeight="15" x14ac:dyDescent="0.25"/>
  <cols>
    <col min="1" max="1" width="24" customWidth="1"/>
    <col min="2" max="2" width="12" customWidth="1"/>
    <col min="3" max="3" width="24" customWidth="1"/>
    <col min="4" max="4" width="34" customWidth="1"/>
    <col min="5" max="5" width="20" customWidth="1"/>
    <col min="6" max="6" width="16" customWidth="1"/>
  </cols>
  <sheetData>
    <row r="1" spans="1:6" ht="27.75" customHeight="1" x14ac:dyDescent="0.25">
      <c r="A1" s="7" t="s">
        <v>424</v>
      </c>
      <c r="B1" s="7"/>
      <c r="C1" s="7"/>
      <c r="D1" s="7"/>
      <c r="E1" s="7"/>
      <c r="F1" s="7"/>
    </row>
    <row r="3" spans="1:6" ht="13.5" customHeight="1" x14ac:dyDescent="0.25">
      <c r="A3" s="5" t="s">
        <v>425</v>
      </c>
      <c r="B3" s="5"/>
      <c r="C3" s="5"/>
      <c r="D3" s="5"/>
      <c r="E3" s="5"/>
      <c r="F3" s="5"/>
    </row>
    <row r="4" spans="1:6" ht="48" customHeight="1" x14ac:dyDescent="0.25">
      <c r="A4" s="4" t="s">
        <v>426</v>
      </c>
      <c r="B4" s="4"/>
      <c r="C4" s="4"/>
      <c r="D4" s="4"/>
      <c r="E4" s="4"/>
      <c r="F4" s="4"/>
    </row>
    <row r="6" spans="1:6" ht="13.5" customHeight="1" x14ac:dyDescent="0.25">
      <c r="A6" s="3" t="s">
        <v>427</v>
      </c>
      <c r="B6" s="3"/>
      <c r="C6" s="3"/>
      <c r="D6" s="3"/>
      <c r="E6" s="3"/>
      <c r="F6" s="3"/>
    </row>
    <row r="7" spans="1:6" ht="48" customHeight="1" x14ac:dyDescent="0.25">
      <c r="A7" s="2" t="s">
        <v>428</v>
      </c>
      <c r="B7" s="2"/>
      <c r="C7" s="2"/>
      <c r="D7" s="2"/>
      <c r="E7" s="2"/>
      <c r="F7" s="2"/>
    </row>
    <row r="9" spans="1:6" ht="13.5" customHeight="1" x14ac:dyDescent="0.25">
      <c r="A9" s="5" t="s">
        <v>429</v>
      </c>
      <c r="B9" s="5"/>
      <c r="C9" s="5"/>
      <c r="D9" s="5"/>
      <c r="E9" s="5"/>
      <c r="F9" s="5"/>
    </row>
    <row r="10" spans="1:6" ht="48" customHeight="1" x14ac:dyDescent="0.25">
      <c r="A10" s="4" t="s">
        <v>430</v>
      </c>
      <c r="B10" s="4"/>
      <c r="C10" s="4"/>
      <c r="D10" s="4"/>
      <c r="E10" s="4"/>
      <c r="F10" s="4"/>
    </row>
    <row r="12" spans="1:6" ht="13.5" customHeight="1" x14ac:dyDescent="0.25">
      <c r="A12" s="5" t="s">
        <v>431</v>
      </c>
      <c r="B12" s="5"/>
      <c r="C12" s="5"/>
      <c r="D12" s="5"/>
      <c r="E12" s="5"/>
      <c r="F12" s="5"/>
    </row>
    <row r="13" spans="1:6" ht="48" customHeight="1" x14ac:dyDescent="0.25">
      <c r="A13" s="4" t="s">
        <v>432</v>
      </c>
      <c r="B13" s="4"/>
      <c r="C13" s="4"/>
      <c r="D13" s="4"/>
      <c r="E13" s="4"/>
      <c r="F13" s="4"/>
    </row>
    <row r="15" spans="1:6" ht="13.5" customHeight="1" x14ac:dyDescent="0.25">
      <c r="A15" s="5" t="s">
        <v>433</v>
      </c>
      <c r="B15" s="5"/>
      <c r="C15" s="5"/>
      <c r="D15" s="5"/>
      <c r="E15" s="5"/>
      <c r="F15" s="5"/>
    </row>
    <row r="16" spans="1:6" ht="48" customHeight="1" x14ac:dyDescent="0.25">
      <c r="A16" s="4" t="s">
        <v>434</v>
      </c>
      <c r="B16" s="4"/>
      <c r="C16" s="4"/>
      <c r="D16" s="4"/>
      <c r="E16" s="4"/>
      <c r="F16" s="4"/>
    </row>
    <row r="18" spans="1:6" ht="13.5" customHeight="1" x14ac:dyDescent="0.25">
      <c r="A18" s="3" t="s">
        <v>435</v>
      </c>
      <c r="B18" s="3"/>
      <c r="C18" s="3"/>
      <c r="D18" s="3"/>
      <c r="E18" s="3"/>
      <c r="F18" s="3"/>
    </row>
    <row r="19" spans="1:6" ht="48" customHeight="1" x14ac:dyDescent="0.25">
      <c r="A19" s="2" t="s">
        <v>436</v>
      </c>
      <c r="B19" s="2"/>
      <c r="C19" s="2"/>
      <c r="D19" s="2"/>
      <c r="E19" s="2"/>
      <c r="F19" s="2"/>
    </row>
    <row r="22" spans="1:6" ht="15" customHeight="1" x14ac:dyDescent="0.25">
      <c r="A22" s="1" t="s">
        <v>437</v>
      </c>
      <c r="B22" s="1"/>
      <c r="C22" s="1"/>
      <c r="D22" s="1"/>
      <c r="E22" s="1"/>
      <c r="F22" s="1"/>
    </row>
    <row r="23" spans="1:6" ht="15" customHeight="1" x14ac:dyDescent="0.25">
      <c r="A23" s="62" t="s">
        <v>97</v>
      </c>
      <c r="B23" s="62" t="s">
        <v>100</v>
      </c>
      <c r="C23" s="62" t="s">
        <v>438</v>
      </c>
      <c r="D23" s="62" t="s">
        <v>439</v>
      </c>
      <c r="E23" s="62" t="s">
        <v>440</v>
      </c>
      <c r="F23" s="62" t="s">
        <v>441</v>
      </c>
    </row>
    <row r="24" spans="1:6" ht="19.5" customHeight="1" x14ac:dyDescent="0.25">
      <c r="A24" s="33" t="s">
        <v>442</v>
      </c>
      <c r="B24" s="33" t="s">
        <v>443</v>
      </c>
      <c r="C24" s="33" t="s">
        <v>444</v>
      </c>
      <c r="D24" s="33" t="s">
        <v>445</v>
      </c>
      <c r="E24" s="33" t="s">
        <v>446</v>
      </c>
      <c r="F24" s="33" t="s">
        <v>447</v>
      </c>
    </row>
    <row r="25" spans="1:6" ht="19.5" customHeight="1" x14ac:dyDescent="0.25">
      <c r="A25" s="33" t="s">
        <v>448</v>
      </c>
      <c r="B25" s="33" t="s">
        <v>443</v>
      </c>
      <c r="C25" s="33" t="s">
        <v>449</v>
      </c>
      <c r="D25" s="33" t="s">
        <v>450</v>
      </c>
      <c r="E25" s="33" t="s">
        <v>451</v>
      </c>
      <c r="F25" s="33" t="s">
        <v>452</v>
      </c>
    </row>
    <row r="26" spans="1:6" ht="19.5" customHeight="1" x14ac:dyDescent="0.25">
      <c r="A26" s="33" t="s">
        <v>453</v>
      </c>
      <c r="B26" s="33" t="s">
        <v>454</v>
      </c>
      <c r="C26" s="33" t="s">
        <v>455</v>
      </c>
      <c r="D26" s="33" t="s">
        <v>456</v>
      </c>
      <c r="E26" s="33" t="s">
        <v>457</v>
      </c>
      <c r="F26" s="33" t="s">
        <v>458</v>
      </c>
    </row>
    <row r="27" spans="1:6" ht="19.5" customHeight="1" x14ac:dyDescent="0.25">
      <c r="A27" s="55" t="s">
        <v>459</v>
      </c>
      <c r="B27" s="55" t="s">
        <v>460</v>
      </c>
      <c r="C27" s="55" t="s">
        <v>461</v>
      </c>
      <c r="D27" s="55" t="s">
        <v>462</v>
      </c>
      <c r="E27" s="55" t="s">
        <v>463</v>
      </c>
      <c r="F27" s="55" t="s">
        <v>208</v>
      </c>
    </row>
    <row r="28" spans="1:6" ht="19.5" customHeight="1" x14ac:dyDescent="0.25">
      <c r="A28" s="24" t="s">
        <v>464</v>
      </c>
      <c r="B28" s="24" t="s">
        <v>465</v>
      </c>
      <c r="C28" s="24" t="s">
        <v>466</v>
      </c>
      <c r="D28" s="24" t="s">
        <v>467</v>
      </c>
      <c r="E28" s="24" t="s">
        <v>468</v>
      </c>
      <c r="F28" s="24" t="s">
        <v>251</v>
      </c>
    </row>
    <row r="29" spans="1:6" ht="19.5" customHeight="1" x14ac:dyDescent="0.25">
      <c r="A29" s="55" t="s">
        <v>469</v>
      </c>
      <c r="B29" s="55" t="s">
        <v>470</v>
      </c>
      <c r="C29" s="55" t="s">
        <v>471</v>
      </c>
      <c r="D29" s="55" t="s">
        <v>472</v>
      </c>
      <c r="E29" s="55" t="s">
        <v>471</v>
      </c>
      <c r="F29" s="55" t="s">
        <v>20</v>
      </c>
    </row>
  </sheetData>
  <mergeCells count="14">
    <mergeCell ref="A16:F16"/>
    <mergeCell ref="A18:F18"/>
    <mergeCell ref="A19:F19"/>
    <mergeCell ref="A22:F22"/>
    <mergeCell ref="A9:F9"/>
    <mergeCell ref="A10:F10"/>
    <mergeCell ref="A12:F12"/>
    <mergeCell ref="A13:F13"/>
    <mergeCell ref="A15:F15"/>
    <mergeCell ref="A1:F1"/>
    <mergeCell ref="A3:F3"/>
    <mergeCell ref="A4:F4"/>
    <mergeCell ref="A6:F6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</vt:lpstr>
      <vt:lpstr>Watchlist</vt:lpstr>
      <vt:lpstr>Catalysts</vt:lpstr>
      <vt:lpstr>Trade Log</vt:lpstr>
      <vt:lpstr>Thesis &amp; IBKR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Cadbury</cp:lastModifiedBy>
  <cp:revision>0</cp:revision>
  <dcterms:created xsi:type="dcterms:W3CDTF">2026-03-24T10:40:49Z</dcterms:created>
  <dcterms:modified xsi:type="dcterms:W3CDTF">2026-03-24T10:45:38Z</dcterms:modified>
  <dc:language>en-US</dc:language>
</cp:coreProperties>
</file>