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adb\Dropbox\James\IBKR\"/>
    </mc:Choice>
  </mc:AlternateContent>
  <xr:revisionPtr revIDLastSave="0" documentId="8_{0896768D-1452-4F75-8D97-4C6AF9AA88D9}" xr6:coauthVersionLast="47" xr6:coauthVersionMax="47" xr10:uidLastSave="{00000000-0000-0000-0000-000000000000}"/>
  <bookViews>
    <workbookView xWindow="-67305" yWindow="0" windowWidth="19410" windowHeight="16305" tabRatio="500" xr2:uid="{00000000-000D-0000-FFFF-FFFF00000000}"/>
  </bookViews>
  <sheets>
    <sheet name="Watchlist" sheetId="1" r:id="rId1"/>
    <sheet name="IBKR Setup" sheetId="2" r:id="rId2"/>
    <sheet name="Catalysts" sheetId="3" r:id="rId3"/>
    <sheet name="Trade Log" sheetId="4" r:id="rId4"/>
    <sheet name="Thesis &amp; Exit Trigger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4" l="1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H35" i="4" s="1"/>
  <c r="I40" i="1"/>
  <c r="I39" i="1"/>
  <c r="I36" i="1"/>
  <c r="I35" i="1"/>
  <c r="I23" i="1"/>
  <c r="I22" i="1"/>
  <c r="I21" i="1"/>
  <c r="I20" i="1"/>
  <c r="I19" i="1"/>
  <c r="I18" i="1"/>
  <c r="I16" i="1"/>
  <c r="I15" i="1"/>
  <c r="I14" i="1"/>
  <c r="I13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<sst xmlns="http://schemas.openxmlformats.org/spreadsheetml/2006/main" count="690" uniqueCount="286">
  <si>
    <t>FUND DASHBOARD — IBKR PRO</t>
  </si>
  <si>
    <t>32 positions · 3 tranches · Baseline 23 Mar 2026 · Generated 24 Mar 2026</t>
  </si>
  <si>
    <t>#</t>
  </si>
  <si>
    <t>Ticker</t>
  </si>
  <si>
    <t>IBKR Ticker</t>
  </si>
  <si>
    <t>Exchange</t>
  </si>
  <si>
    <t>Cur</t>
  </si>
  <si>
    <t>Name</t>
  </si>
  <si>
    <t>Entry Price</t>
  </si>
  <si>
    <t>Target</t>
  </si>
  <si>
    <t>Upside %</t>
  </si>
  <si>
    <t>Thesis</t>
  </si>
  <si>
    <t>Exit Trigger</t>
  </si>
  <si>
    <t>Tranche</t>
  </si>
  <si>
    <t>Status</t>
  </si>
  <si>
    <t>Notes</t>
  </si>
  <si>
    <t>Tranche B — Conflict Rebound / Long Hold</t>
  </si>
  <si>
    <t>RCL</t>
  </si>
  <si>
    <t>NYSE / NYSE</t>
  </si>
  <si>
    <t>USD</t>
  </si>
  <si>
    <t>Royal Caribbean</t>
  </si>
  <si>
    <t>Cruise rebound — exit when oil &lt;$80</t>
  </si>
  <si>
    <t>Oil &lt;$80 sustained</t>
  </si>
  <si>
    <t>B</t>
  </si>
  <si>
    <t>Watching</t>
  </si>
  <si>
    <t>CCL</t>
  </si>
  <si>
    <t>Carnival Corp</t>
  </si>
  <si>
    <t>Cruise rebound — no fuel hedge = highest beta</t>
  </si>
  <si>
    <t>IAG</t>
  </si>
  <si>
    <t>ICAGY</t>
  </si>
  <si>
    <t>OTC / OTCPK</t>
  </si>
  <si>
    <t>Int'l Airlines Group</t>
  </si>
  <si>
    <t>Transatlantic routes unaffected — British Airways parent</t>
  </si>
  <si>
    <t>OTC ADR. PT $14.96 analyst avg (+45%)</t>
  </si>
  <si>
    <t>MAR</t>
  </si>
  <si>
    <t>NASDAQ / NASDAQ</t>
  </si>
  <si>
    <t>Marriott Int'l</t>
  </si>
  <si>
    <t>Asset-light, limited GCC exposure</t>
  </si>
  <si>
    <t>HWM</t>
  </si>
  <si>
    <t>Howmet Aerospace</t>
  </si>
  <si>
    <t>Jet engine + defence components</t>
  </si>
  <si>
    <t>Hold — rearmament structural</t>
  </si>
  <si>
    <t>CCJ</t>
  </si>
  <si>
    <t>Cameco Corp</t>
  </si>
  <si>
    <t>Uranium 2-5yr hold — 22Mlb deal signed</t>
  </si>
  <si>
    <t>2028 Russian waiver window</t>
  </si>
  <si>
    <t>Tranche A — Day Trading / Momentum / New Picks</t>
  </si>
  <si>
    <t>LHX</t>
  </si>
  <si>
    <t>L3Harris Technologies</t>
  </si>
  <si>
    <t>DoD missile IPO H2 2026</t>
  </si>
  <si>
    <t>Missile Solutions IPO close</t>
  </si>
  <si>
    <t>A</t>
  </si>
  <si>
    <t>CTRA</t>
  </si>
  <si>
    <t>Coterra Energy</t>
  </si>
  <si>
    <t>Hormuz oil shock — Devon merger $58B</t>
  </si>
  <si>
    <t>Devon merger close OR oil &lt;$75</t>
  </si>
  <si>
    <t>SAP</t>
  </si>
  <si>
    <t>SAP SE</t>
  </si>
  <si>
    <t>Enterprise tech sold off on sentiment</t>
  </si>
  <si>
    <t>PT $341 consensus</t>
  </si>
  <si>
    <t>Barrick Mining</t>
  </si>
  <si>
    <t>Gold hedge elevated under US withdrawal</t>
  </si>
  <si>
    <t>Gold &lt;$2,800 + ceasefire</t>
  </si>
  <si>
    <t>NYSE ticker B (not GOLD)</t>
  </si>
  <si>
    <t>TSLA</t>
  </si>
  <si>
    <t>Tesla</t>
  </si>
  <si>
    <t>—</t>
  </si>
  <si>
    <t>Intraday vol play ONLY — no overnight holds</t>
  </si>
  <si>
    <t>Intraday only</t>
  </si>
  <si>
    <t>HSBC PT -70%. Jury verdict. High risk.</t>
  </si>
  <si>
    <t>AMD</t>
  </si>
  <si>
    <t>Adv. Micro Devices</t>
  </si>
  <si>
    <t>Semis rotation — May 5 earnings</t>
  </si>
  <si>
    <t>Post-earnings re-rate</t>
  </si>
  <si>
    <t>SMCI</t>
  </si>
  <si>
    <t>Super Micro Computer</t>
  </si>
  <si>
    <t>Blackwell AI servers — size small</t>
  </si>
  <si>
    <t>May 5 earnings</t>
  </si>
  <si>
    <t>Co-founder indicted for export violations</t>
  </si>
  <si>
    <t>UEC</t>
  </si>
  <si>
    <t>AMEX / AMEX</t>
  </si>
  <si>
    <t>Uranium Energy Corp</t>
  </si>
  <si>
    <t>Junior uranium swing on news</t>
  </si>
  <si>
    <t>Spot uranium &gt;$115/lb</t>
  </si>
  <si>
    <t>LEU</t>
  </si>
  <si>
    <t>Centrus Energy</t>
  </si>
  <si>
    <t>Only US HALEU producer — Oklo JV</t>
  </si>
  <si>
    <t>PT consensus $283</t>
  </si>
  <si>
    <t>BBAI</t>
  </si>
  <si>
    <t>BigBear.ai</t>
  </si>
  <si>
    <t>UAE EDGE deal + Apr 30 earnings</t>
  </si>
  <si>
    <t>Apr 30 earnings + contract news</t>
  </si>
  <si>
    <t>AVGO</t>
  </si>
  <si>
    <t>Broadcom</t>
  </si>
  <si>
    <t>AI custom chips — Meta ASIC confirmed</t>
  </si>
  <si>
    <t>AI revenue &gt;$100B milestone</t>
  </si>
  <si>
    <t>EQNR</t>
  </si>
  <si>
    <t>Equinor ASA</t>
  </si>
  <si>
    <t>TBD</t>
  </si>
  <si>
    <t>Zero Hormuz exposure — pure Brent play. 3.9% yield</t>
  </si>
  <si>
    <t>Oil &lt;$75 OR Hormuz reopens</t>
  </si>
  <si>
    <t>NEW — entry TBD</t>
  </si>
  <si>
    <t>NEW — Norwegian North Sea</t>
  </si>
  <si>
    <t>SHEL</t>
  </si>
  <si>
    <t>Shell PLC</t>
  </si>
  <si>
    <t>7% Hormuz exposure — $4B trading gains est.</t>
  </si>
  <si>
    <t>Oil &lt;$75 sustainably</t>
  </si>
  <si>
    <t>NEW — JPMorgan OW, 17% upside</t>
  </si>
  <si>
    <t>RNMBY</t>
  </si>
  <si>
    <t>Rheinmetall ADR</t>
  </si>
  <si>
    <t>40-45% sales growth 2026 — EU rearmament anchor. PT +41%</t>
  </si>
  <si>
    <t>No exit — structural hold</t>
  </si>
  <si>
    <t>NEW — OTC ADR for RHM.DE. ~$358</t>
  </si>
  <si>
    <t>FINMY</t>
  </si>
  <si>
    <t>Leonardo SpA ADR</t>
  </si>
  <si>
    <t>Ceasefire-resilient — doubles profit by 2030. Barclays OW</t>
  </si>
  <si>
    <t>NEW — OTC ADR for LDO.MI</t>
  </si>
  <si>
    <t>BAESY</t>
  </si>
  <si>
    <t>BAE Systems ADR</t>
  </si>
  <si>
    <t>45% US DoD revenue + AUKUS submarine prime contractor</t>
  </si>
  <si>
    <t>NEW — OTC ADR for LSE BA.</t>
  </si>
  <si>
    <t>RYCEY</t>
  </si>
  <si>
    <t>Rolls-Royce ADR</t>
  </si>
  <si>
    <t>Defence + SMR nuclear + military aviation recovery</t>
  </si>
  <si>
    <t>NEW — OTC ADR for LSE RR.</t>
  </si>
  <si>
    <t>KDEF</t>
  </si>
  <si>
    <t>Plus Korea Defense ETF</t>
  </si>
  <si>
    <t>Korean defence basket — Hanwha 15.5%, LIG 5.1%, KAI 8.3%</t>
  </si>
  <si>
    <t>NEW — NYSE Arca. KRX direct blocked.</t>
  </si>
  <si>
    <t>MHI</t>
  </si>
  <si>
    <t>7011</t>
  </si>
  <si>
    <t>TSE / TSEJ</t>
  </si>
  <si>
    <t>JPY</t>
  </si>
  <si>
    <t>Mitsubishi Heavy Ind.</t>
  </si>
  <si>
    <t>GCAP next-gen fighter + Type 12 missiles + export wins</t>
  </si>
  <si>
    <t>NEW — TSE direct: 7011 / TSEJ confirmed</t>
  </si>
  <si>
    <t>EUAD</t>
  </si>
  <si>
    <t>STOXX Europe Defence ETF</t>
  </si>
  <si>
    <t>EUR defence basket — RHM, BAE, Rolls, Leonardo, Thales</t>
  </si>
  <si>
    <t>No exit — structural rearmament</t>
  </si>
  <si>
    <t>NEW — NYSE Arca. +49% trailing 12m. ~$42</t>
  </si>
  <si>
    <t>Tranche C — Penny / High Volatility</t>
  </si>
  <si>
    <t>PDYN</t>
  </si>
  <si>
    <t>Palladyne AI</t>
  </si>
  <si>
    <t>SwarmOS HANGTIME AFRL contract</t>
  </si>
  <si>
    <t>May 13 earnings + DoD contract</t>
  </si>
  <si>
    <t>C</t>
  </si>
  <si>
    <t>NVTS</t>
  </si>
  <si>
    <t>Navitas Semiconductor</t>
  </si>
  <si>
    <t>Nvidia 800V HVDC power partner</t>
  </si>
  <si>
    <t>Nvidia mass production 2027 confirm</t>
  </si>
  <si>
    <t>ZENA</t>
  </si>
  <si>
    <t>ZenaTech</t>
  </si>
  <si>
    <t>Counter-UAS + quantum GPS-denied nav</t>
  </si>
  <si>
    <t>Blue UAS cert + DoD pilot</t>
  </si>
  <si>
    <t>LAC</t>
  </si>
  <si>
    <t>Lithium Americas</t>
  </si>
  <si>
    <t>DOE $2.26B loan + GM investment</t>
  </si>
  <si>
    <t>Phase 1 production confirmation</t>
  </si>
  <si>
    <t>RCAT</t>
  </si>
  <si>
    <t>Red Cat Holdings</t>
  </si>
  <si>
    <t>Army SRR programme of record +1842% rev</t>
  </si>
  <si>
    <t>PT $17 analyst consensus</t>
  </si>
  <si>
    <t>ONDS</t>
  </si>
  <si>
    <t>Ondas Inc</t>
  </si>
  <si>
    <t>Drone comms infrastructure — Palantir partner</t>
  </si>
  <si>
    <t>$170-180M 2026 guidance execution</t>
  </si>
  <si>
    <t>IBKR SYMBOL LOOKUP &amp; ACCESS AUDIT</t>
  </si>
  <si>
    <t>EXCHANGE ACCESS STATUS — UAE IBKR PRO ACCOUNT</t>
  </si>
  <si>
    <t>NYSE / NASDAQ / AMEX</t>
  </si>
  <si>
    <t>✓ Full access</t>
  </si>
  <si>
    <t>All US equities direct — no setup needed</t>
  </si>
  <si>
    <t>OTC Pink (ADRs)</t>
  </si>
  <si>
    <t>ICAGY, RNMBY, FINMY, BAESY, RYCEY — search ticker, select PINK/OTCBB. Use LIMIT orders.</t>
  </si>
  <si>
    <t>TSE Tokyo (TSEJ)</t>
  </si>
  <si>
    <t>✓ Confirmed</t>
  </si>
  <si>
    <t>Search 7011, select TSEJ — confirmed working on UAE IBKR Pro</t>
  </si>
  <si>
    <t>KSE Seoul (KSE)</t>
  </si>
  <si>
    <t>✗ Blocked</t>
  </si>
  <si>
    <t>Numeric tickers resolve as bonds. Use KDEF ETF for Korean defence exposure.</t>
  </si>
  <si>
    <t>SGX Singapore (SGX)</t>
  </si>
  <si>
    <t>? Untested</t>
  </si>
  <si>
    <t>Try S63 + SGX. If blocked, no clean fallback.</t>
  </si>
  <si>
    <t>Leveraged ETFs (-UI)</t>
  </si>
  <si>
    <t>✗ Restricted</t>
  </si>
  <si>
    <t>KORU blocked. UAE accounts restricted from complex/leveraged products.</t>
  </si>
  <si>
    <t>FULL SYMBOL LOOKUP — ALL 32 POSITIONS</t>
  </si>
  <si>
    <t>IBKR Symbol</t>
  </si>
  <si>
    <t>Exchange Code</t>
  </si>
  <si>
    <t>Currency</t>
  </si>
  <si>
    <t>Type</t>
  </si>
  <si>
    <t>How to add in IBKR</t>
  </si>
  <si>
    <t>NYSE</t>
  </si>
  <si>
    <t>US Equity</t>
  </si>
  <si>
    <t>Search ticker → auto-resolves NYSE</t>
  </si>
  <si>
    <t>OTCPK</t>
  </si>
  <si>
    <t>OTC ADR</t>
  </si>
  <si>
    <t>Search ticker → select PINK or OTCBB. Use LIMIT orders.</t>
  </si>
  <si>
    <t>NASDAQ</t>
  </si>
  <si>
    <t>Search ticker → auto-resolves NASDAQ</t>
  </si>
  <si>
    <t>AMEX</t>
  </si>
  <si>
    <t>Search ticker → auto-resolves AMEX</t>
  </si>
  <si>
    <t>TSEJ</t>
  </si>
  <si>
    <t>Japan Equity (direct)</t>
  </si>
  <si>
    <t>Search 7011 → select TSEJ ✓ confirmed</t>
  </si>
  <si>
    <t>UPCOMING CATALYSTS &amp; KEY DATES</t>
  </si>
  <si>
    <t>Date</t>
  </si>
  <si>
    <t>Event</t>
  </si>
  <si>
    <t>Positions</t>
  </si>
  <si>
    <t>Notes / Action</t>
  </si>
  <si>
    <t>25 Mar 2026</t>
  </si>
  <si>
    <t>ONDS Q1 earnings</t>
  </si>
  <si>
    <t>27-29 Mar 2026</t>
  </si>
  <si>
    <t>CCL Q1 earnings</t>
  </si>
  <si>
    <t>28-31 Mar 2026</t>
  </si>
  <si>
    <t>Trump strike deadline / Polymarket</t>
  </si>
  <si>
    <t>ALL Tranche B</t>
  </si>
  <si>
    <t>01 Apr 2026</t>
  </si>
  <si>
    <t>ZENA DaaS-25 location target</t>
  </si>
  <si>
    <t>23 Apr 2026</t>
  </si>
  <si>
    <t>LHX Q1 earnings</t>
  </si>
  <si>
    <t>28 Apr 2026</t>
  </si>
  <si>
    <t>TSLA Q1 earnings</t>
  </si>
  <si>
    <t>30 Apr 2026</t>
  </si>
  <si>
    <t>RCL / HWM / BBAI earnings</t>
  </si>
  <si>
    <t>RCL, HWM, BBAI</t>
  </si>
  <si>
    <t>01 May 2026</t>
  </si>
  <si>
    <t>CCJ Q1 earnings</t>
  </si>
  <si>
    <t>05 May 2026</t>
  </si>
  <si>
    <t>AMD / SMCI earnings</t>
  </si>
  <si>
    <t>AMD, SMCI</t>
  </si>
  <si>
    <t>06 May 2026</t>
  </si>
  <si>
    <t>Hanwha Aerospace earnings (KRX)</t>
  </si>
  <si>
    <t>07 May 2026</t>
  </si>
  <si>
    <t>Rheinmetall earnings</t>
  </si>
  <si>
    <t>08 May 2026</t>
  </si>
  <si>
    <t>IAG Q1 earnings</t>
  </si>
  <si>
    <t>IAG/ICAGY</t>
  </si>
  <si>
    <t>13 May 2026</t>
  </si>
  <si>
    <t>PDYN earnings / MHI earnings</t>
  </si>
  <si>
    <t>PDYN, MHI/7011</t>
  </si>
  <si>
    <t>TRADE LOG — IBKR PRO</t>
  </si>
  <si>
    <t>Log each trade here. P&amp;L columns calculate automatically.</t>
  </si>
  <si>
    <t>Side</t>
  </si>
  <si>
    <t>Qty</t>
  </si>
  <si>
    <t>Exit Price</t>
  </si>
  <si>
    <t>P&amp;L (USD)</t>
  </si>
  <si>
    <t>Return %</t>
  </si>
  <si>
    <t>TOTALS</t>
  </si>
  <si>
    <t>FUND THESIS &amp; EXIT TRIGGER REFERENCE</t>
  </si>
  <si>
    <t>Category</t>
  </si>
  <si>
    <t>Sub-category</t>
  </si>
  <si>
    <t>Description</t>
  </si>
  <si>
    <t>Exit Signal</t>
  </si>
  <si>
    <t>MASTER THESIS</t>
  </si>
  <si>
    <t>US will withdraw from Iran conflict. Iran will maintain Hormuz blockade / control. Structural oil elevation continues. Exit triggers are OIL-BASED, not ceasefire-based.</t>
  </si>
  <si>
    <t>TRANCHE B</t>
  </si>
  <si>
    <t>Conflict Rebound / Long Hold</t>
  </si>
  <si>
    <t>Positions benefit from post-conflict normalisation. Hold until oil drops below $80 sustained — which requires Hormuz to reopen regardless of who controls it.</t>
  </si>
  <si>
    <t>Oil &lt;$80 sustained (NOT ceasefire)</t>
  </si>
  <si>
    <t>RCL, CCL, IAG, MAR, HWM, CCJ</t>
  </si>
  <si>
    <t>TRANCHE A</t>
  </si>
  <si>
    <t>Day Trading / Momentum / New Picks</t>
  </si>
  <si>
    <t>Mix of short-term momentum plays and structural new EUR/Asia positions. US names are event-driven. EUR/Asia names are structural rearmament / energy holds.</t>
  </si>
  <si>
    <t>Varies by position — see Watchlist</t>
  </si>
  <si>
    <t>LHX, CTRA, SAP, B, TSLA, AMD, SMCI, UEC, LEU, BBAI, AVGO, EQNR, SHEL, RNMBY, FINMY, BAESY, RYCEY, KDEF, MHI, EUAD</t>
  </si>
  <si>
    <t>TRANCHE C</t>
  </si>
  <si>
    <t>Penny / High Volatility</t>
  </si>
  <si>
    <t>Small positions, high upside. Event-driven catalysts. Size small. Earnings dates are key triggers. Monitor closely.</t>
  </si>
  <si>
    <t>Event / earnings specific</t>
  </si>
  <si>
    <t>PDYN, NVTS, ZENA, LAC, RCAT, ONDS</t>
  </si>
  <si>
    <t>KEY RISK 1</t>
  </si>
  <si>
    <t>Hormuz reopens unexpectedly</t>
  </si>
  <si>
    <t>If Iran allows passage (US navy escorts, back-channel deal, or capitulation): oil drops sharply, Tranche B rebounds, CTRA/EQNR/SHEL unwind. EXIT oil positions.</t>
  </si>
  <si>
    <t>Oil &lt;$75 sustained</t>
  </si>
  <si>
    <t>CTRA, EQNR, SHEL</t>
  </si>
  <si>
    <t>KEY RISK 2</t>
  </si>
  <si>
    <t>Ceasefire without Hormuz reopening</t>
  </si>
  <si>
    <t>US withdraws but Iran holds Hormuz. Oil stays elevated. Tranche B stays on hold longer than expected. Rearmament stocks continue.</t>
  </si>
  <si>
    <t>No change to Tranche B exits</t>
  </si>
  <si>
    <t>All Tranche B</t>
  </si>
  <si>
    <t>KEY RISK 3</t>
  </si>
  <si>
    <t>Polymarket insider wallets (Mar 28 target)</t>
  </si>
  <si>
    <t>10 fresh wallets bought $160K on ceasefire by end of March on Mar 22. Pattern matched Feb 28 Magamyman precedent. If ceasefire fires before Mar 31, expect sharp gap-up on RCL/CCL/IAG/MAR followed by reversal if Iran denies.</t>
  </si>
  <si>
    <t>Watch Mar 28-31 closely</t>
  </si>
  <si>
    <t>RCL, CCL, IAG,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</si>
</sst>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;\-0.0%;\-"/>
    <numFmt numFmtId="166" formatCode="dd\-mmm\-yyyy"/>
    <numFmt numFmtId="167" formatCode="\$#,##0.00;&quot;($&quot;#,##0.00\);\-"/>
    <numFmt numFmtId="168" formatCode="0.00%;\(0.00%\);\-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AAAAAA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888888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1F3864"/>
      </patternFill>
    </fill>
    <fill>
      <patternFill patternType="solid">
        <fgColor rgb="FF1F3864"/>
        <bgColor rgb="FF1E3A5F"/>
      </patternFill>
    </fill>
    <fill>
      <patternFill patternType="solid">
        <fgColor rgb="FF1E3A5F"/>
        <bgColor rgb="FF1F3864"/>
      </patternFill>
    </fill>
    <fill>
      <patternFill patternType="solid">
        <fgColor rgb="FFE8EFF8"/>
        <bgColor rgb="FFE8F5EE"/>
      </patternFill>
    </fill>
    <fill>
      <patternFill patternType="solid">
        <fgColor rgb="FF7B4F00"/>
        <bgColor rgb="FF375623"/>
      </patternFill>
    </fill>
    <fill>
      <patternFill patternType="solid">
        <fgColor rgb="FFFFF8E7"/>
        <bgColor rgb="FFF9F9F9"/>
      </patternFill>
    </fill>
    <fill>
      <patternFill patternType="solid">
        <fgColor rgb="FFFFE4E1"/>
        <bgColor rgb="FFFFF3CD"/>
      </patternFill>
    </fill>
    <fill>
      <patternFill patternType="solid">
        <fgColor rgb="FFFFF3CD"/>
        <bgColor rgb="FFFFF8E7"/>
      </patternFill>
    </fill>
    <fill>
      <patternFill patternType="solid">
        <fgColor rgb="FF1A4731"/>
        <bgColor rgb="FF1E3A5F"/>
      </patternFill>
    </fill>
    <fill>
      <patternFill patternType="solid">
        <fgColor rgb="FFE8F5EE"/>
        <bgColor rgb="FFE8EFF8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4E1"/>
      </patternFill>
    </fill>
    <fill>
      <patternFill patternType="solid">
        <fgColor rgb="FFFFEB9C"/>
        <bgColor rgb="FFFFF3CD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D6E4F0"/>
        <bgColor rgb="FFE8EFF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166" fontId="5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right" vertical="center"/>
    </xf>
    <xf numFmtId="167" fontId="5" fillId="16" borderId="1" xfId="0" applyNumberFormat="1" applyFont="1" applyFill="1" applyBorder="1" applyAlignment="1">
      <alignment horizontal="right" vertical="center"/>
    </xf>
    <xf numFmtId="168" fontId="5" fillId="16" borderId="1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right" vertical="center"/>
    </xf>
    <xf numFmtId="167" fontId="5" fillId="15" borderId="1" xfId="0" applyNumberFormat="1" applyFont="1" applyFill="1" applyBorder="1" applyAlignment="1">
      <alignment horizontal="right" vertical="center"/>
    </xf>
    <xf numFmtId="168" fontId="5" fillId="15" borderId="1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right" vertical="center"/>
    </xf>
    <xf numFmtId="0" fontId="0" fillId="3" borderId="0" xfId="0" applyFill="1"/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9C0006"/>
      <rgbColor rgb="FF008000"/>
      <rgbColor rgb="FF000080"/>
      <rgbColor rgb="FFB8860B"/>
      <rgbColor rgb="FF800080"/>
      <rgbColor rgb="FF008080"/>
      <rgbColor rgb="FFD6E4F0"/>
      <rgbColor rgb="FF888888"/>
      <rgbColor rgb="FF9999FF"/>
      <rgbColor rgb="FF7030A0"/>
      <rgbColor rgb="FFFFF3CD"/>
      <rgbColor rgb="FFE8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8"/>
      <rgbColor rgb="FFC6EFCE"/>
      <rgbColor rgb="FFFFEB9C"/>
      <rgbColor rgb="FFF9F9F9"/>
      <rgbColor rgb="FFFFE4E1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375623"/>
      <rgbColor rgb="FF1A4731"/>
      <rgbColor rgb="FF7B4F00"/>
      <rgbColor rgb="FF993366"/>
      <rgbColor rgb="FF1E3A5F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40"/>
  <sheetViews>
    <sheetView showGridLines="0" tabSelected="1" zoomScaleNormal="100" workbookViewId="0">
      <pane ySplit="3" topLeftCell="A21" activePane="bottomLeft" state="frozen"/>
      <selection pane="bottomLeft" sqref="A1:N1"/>
    </sheetView>
  </sheetViews>
  <sheetFormatPr defaultColWidth="8.7109375" defaultRowHeight="15" x14ac:dyDescent="0.25"/>
  <cols>
    <col min="1" max="1" width="4" customWidth="1"/>
    <col min="2" max="2" width="8" customWidth="1"/>
    <col min="3" max="3" width="10" customWidth="1"/>
    <col min="4" max="4" width="19.42578125" customWidth="1"/>
    <col min="5" max="5" width="5" customWidth="1"/>
    <col min="6" max="6" width="29.85546875" customWidth="1"/>
    <col min="7" max="7" width="11" customWidth="1"/>
    <col min="8" max="9" width="10" customWidth="1"/>
    <col min="10" max="10" width="42" customWidth="1"/>
    <col min="11" max="11" width="32" customWidth="1"/>
    <col min="12" max="12" width="9" customWidth="1"/>
    <col min="13" max="13" width="14" customWidth="1"/>
    <col min="14" max="14" width="30" customWidth="1"/>
  </cols>
  <sheetData>
    <row r="1" spans="1:14" ht="27.7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8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1.7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</row>
    <row r="4" spans="1:14" ht="18" customHeight="1" x14ac:dyDescent="0.25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1.75" customHeight="1" x14ac:dyDescent="0.25">
      <c r="A5" s="11">
        <v>1</v>
      </c>
      <c r="B5" s="12" t="s">
        <v>17</v>
      </c>
      <c r="C5" s="12" t="s">
        <v>17</v>
      </c>
      <c r="D5" s="13" t="s">
        <v>18</v>
      </c>
      <c r="E5" s="13" t="s">
        <v>19</v>
      </c>
      <c r="F5" s="14" t="s">
        <v>20</v>
      </c>
      <c r="G5" s="15">
        <v>267</v>
      </c>
      <c r="H5" s="15">
        <v>395</v>
      </c>
      <c r="I5" s="16">
        <f t="shared" ref="I5:I10" si="0">IF(AND(G5&lt;&gt;"",H5&lt;&gt;""),H5/G5-1,"")</f>
        <v>0.47940074906367047</v>
      </c>
      <c r="J5" s="17" t="s">
        <v>21</v>
      </c>
      <c r="K5" s="17" t="s">
        <v>22</v>
      </c>
      <c r="L5" s="13" t="s">
        <v>23</v>
      </c>
      <c r="M5" s="13" t="s">
        <v>24</v>
      </c>
      <c r="N5" s="17"/>
    </row>
    <row r="6" spans="1:14" ht="21.75" customHeight="1" x14ac:dyDescent="0.25">
      <c r="A6" s="11">
        <v>2</v>
      </c>
      <c r="B6" s="12" t="s">
        <v>25</v>
      </c>
      <c r="C6" s="12" t="s">
        <v>25</v>
      </c>
      <c r="D6" s="13" t="s">
        <v>18</v>
      </c>
      <c r="E6" s="13" t="s">
        <v>19</v>
      </c>
      <c r="F6" s="14" t="s">
        <v>26</v>
      </c>
      <c r="G6" s="15">
        <v>24.48</v>
      </c>
      <c r="H6" s="15">
        <v>37.35</v>
      </c>
      <c r="I6" s="16">
        <f t="shared" si="0"/>
        <v>0.52573529411764719</v>
      </c>
      <c r="J6" s="17" t="s">
        <v>27</v>
      </c>
      <c r="K6" s="17" t="s">
        <v>22</v>
      </c>
      <c r="L6" s="13" t="s">
        <v>23</v>
      </c>
      <c r="M6" s="13" t="s">
        <v>24</v>
      </c>
      <c r="N6" s="17"/>
    </row>
    <row r="7" spans="1:14" ht="30" customHeight="1" x14ac:dyDescent="0.25">
      <c r="A7" s="11">
        <v>3</v>
      </c>
      <c r="B7" s="12" t="s">
        <v>28</v>
      </c>
      <c r="C7" s="12" t="s">
        <v>29</v>
      </c>
      <c r="D7" s="13" t="s">
        <v>30</v>
      </c>
      <c r="E7" s="13" t="s">
        <v>19</v>
      </c>
      <c r="F7" s="14" t="s">
        <v>31</v>
      </c>
      <c r="G7" s="15">
        <v>10.32</v>
      </c>
      <c r="H7" s="15">
        <v>14.96</v>
      </c>
      <c r="I7" s="16">
        <f t="shared" si="0"/>
        <v>0.44961240310077533</v>
      </c>
      <c r="J7" s="17" t="s">
        <v>32</v>
      </c>
      <c r="K7" s="17" t="s">
        <v>22</v>
      </c>
      <c r="L7" s="13" t="s">
        <v>23</v>
      </c>
      <c r="M7" s="13" t="s">
        <v>24</v>
      </c>
      <c r="N7" s="17" t="s">
        <v>33</v>
      </c>
    </row>
    <row r="8" spans="1:14" ht="21.75" customHeight="1" x14ac:dyDescent="0.25">
      <c r="A8" s="11">
        <v>4</v>
      </c>
      <c r="B8" s="12" t="s">
        <v>34</v>
      </c>
      <c r="C8" s="12" t="s">
        <v>34</v>
      </c>
      <c r="D8" s="13" t="s">
        <v>35</v>
      </c>
      <c r="E8" s="13" t="s">
        <v>19</v>
      </c>
      <c r="F8" s="14" t="s">
        <v>36</v>
      </c>
      <c r="G8" s="15">
        <v>323</v>
      </c>
      <c r="H8" s="15">
        <v>331</v>
      </c>
      <c r="I8" s="16">
        <f t="shared" si="0"/>
        <v>2.4767801857585203E-2</v>
      </c>
      <c r="J8" s="17" t="s">
        <v>37</v>
      </c>
      <c r="K8" s="17" t="s">
        <v>22</v>
      </c>
      <c r="L8" s="13" t="s">
        <v>23</v>
      </c>
      <c r="M8" s="13" t="s">
        <v>24</v>
      </c>
      <c r="N8" s="17"/>
    </row>
    <row r="9" spans="1:14" ht="21.75" customHeight="1" x14ac:dyDescent="0.25">
      <c r="A9" s="11">
        <v>5</v>
      </c>
      <c r="B9" s="12" t="s">
        <v>38</v>
      </c>
      <c r="C9" s="12" t="s">
        <v>38</v>
      </c>
      <c r="D9" s="13" t="s">
        <v>18</v>
      </c>
      <c r="E9" s="13" t="s">
        <v>19</v>
      </c>
      <c r="F9" s="14" t="s">
        <v>39</v>
      </c>
      <c r="G9" s="15">
        <v>231.21</v>
      </c>
      <c r="H9" s="15">
        <v>290</v>
      </c>
      <c r="I9" s="16">
        <f t="shared" si="0"/>
        <v>0.25427100903940136</v>
      </c>
      <c r="J9" s="17" t="s">
        <v>40</v>
      </c>
      <c r="K9" s="17" t="s">
        <v>41</v>
      </c>
      <c r="L9" s="13" t="s">
        <v>23</v>
      </c>
      <c r="M9" s="13" t="s">
        <v>24</v>
      </c>
      <c r="N9" s="17"/>
    </row>
    <row r="10" spans="1:14" ht="21.75" customHeight="1" x14ac:dyDescent="0.25">
      <c r="A10" s="11">
        <v>6</v>
      </c>
      <c r="B10" s="12" t="s">
        <v>42</v>
      </c>
      <c r="C10" s="12" t="s">
        <v>42</v>
      </c>
      <c r="D10" s="13" t="s">
        <v>18</v>
      </c>
      <c r="E10" s="13" t="s">
        <v>19</v>
      </c>
      <c r="F10" s="14" t="s">
        <v>43</v>
      </c>
      <c r="G10" s="15">
        <v>102.3</v>
      </c>
      <c r="H10" s="15">
        <v>135</v>
      </c>
      <c r="I10" s="16">
        <f t="shared" si="0"/>
        <v>0.31964809384164217</v>
      </c>
      <c r="J10" s="17" t="s">
        <v>44</v>
      </c>
      <c r="K10" s="17" t="s">
        <v>45</v>
      </c>
      <c r="L10" s="13" t="s">
        <v>23</v>
      </c>
      <c r="M10" s="13" t="s">
        <v>24</v>
      </c>
      <c r="N10" s="17"/>
    </row>
    <row r="12" spans="1:14" ht="18" customHeight="1" x14ac:dyDescent="0.25">
      <c r="A12" s="6" t="s">
        <v>46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21.75" customHeight="1" x14ac:dyDescent="0.25">
      <c r="A13" s="18">
        <v>7</v>
      </c>
      <c r="B13" s="19" t="s">
        <v>47</v>
      </c>
      <c r="C13" s="19" t="s">
        <v>47</v>
      </c>
      <c r="D13" s="20" t="s">
        <v>18</v>
      </c>
      <c r="E13" s="20" t="s">
        <v>19</v>
      </c>
      <c r="F13" s="21" t="s">
        <v>48</v>
      </c>
      <c r="G13" s="22">
        <v>363</v>
      </c>
      <c r="H13" s="22">
        <v>385</v>
      </c>
      <c r="I13" s="23">
        <f>IF(AND(G13&lt;&gt;"",H13&lt;&gt;""),H13/G13-1,"")</f>
        <v>6.0606060606060552E-2</v>
      </c>
      <c r="J13" s="24" t="s">
        <v>49</v>
      </c>
      <c r="K13" s="24" t="s">
        <v>50</v>
      </c>
      <c r="L13" s="20" t="s">
        <v>51</v>
      </c>
      <c r="M13" s="20" t="s">
        <v>24</v>
      </c>
      <c r="N13" s="24"/>
    </row>
    <row r="14" spans="1:14" ht="21.75" customHeight="1" x14ac:dyDescent="0.25">
      <c r="A14" s="18">
        <v>8</v>
      </c>
      <c r="B14" s="19" t="s">
        <v>52</v>
      </c>
      <c r="C14" s="19" t="s">
        <v>52</v>
      </c>
      <c r="D14" s="20" t="s">
        <v>18</v>
      </c>
      <c r="E14" s="20" t="s">
        <v>19</v>
      </c>
      <c r="F14" s="21" t="s">
        <v>53</v>
      </c>
      <c r="G14" s="22">
        <v>34</v>
      </c>
      <c r="H14" s="22">
        <v>43</v>
      </c>
      <c r="I14" s="23">
        <f>IF(AND(G14&lt;&gt;"",H14&lt;&gt;""),H14/G14-1,"")</f>
        <v>0.26470588235294112</v>
      </c>
      <c r="J14" s="24" t="s">
        <v>54</v>
      </c>
      <c r="K14" s="24" t="s">
        <v>55</v>
      </c>
      <c r="L14" s="20" t="s">
        <v>51</v>
      </c>
      <c r="M14" s="20" t="s">
        <v>24</v>
      </c>
      <c r="N14" s="24"/>
    </row>
    <row r="15" spans="1:14" ht="21.75" customHeight="1" x14ac:dyDescent="0.25">
      <c r="A15" s="18">
        <v>9</v>
      </c>
      <c r="B15" s="19" t="s">
        <v>56</v>
      </c>
      <c r="C15" s="19" t="s">
        <v>56</v>
      </c>
      <c r="D15" s="20" t="s">
        <v>18</v>
      </c>
      <c r="E15" s="20" t="s">
        <v>19</v>
      </c>
      <c r="F15" s="21" t="s">
        <v>57</v>
      </c>
      <c r="G15" s="22">
        <v>175.8</v>
      </c>
      <c r="H15" s="22">
        <v>341</v>
      </c>
      <c r="I15" s="23">
        <f>IF(AND(G15&lt;&gt;"",H15&lt;&gt;""),H15/G15-1,"")</f>
        <v>0.93970420932878262</v>
      </c>
      <c r="J15" s="24" t="s">
        <v>58</v>
      </c>
      <c r="K15" s="24" t="s">
        <v>59</v>
      </c>
      <c r="L15" s="20" t="s">
        <v>51</v>
      </c>
      <c r="M15" s="20" t="s">
        <v>24</v>
      </c>
      <c r="N15" s="24"/>
    </row>
    <row r="16" spans="1:14" ht="30" customHeight="1" x14ac:dyDescent="0.25">
      <c r="A16" s="18">
        <v>10</v>
      </c>
      <c r="B16" s="19" t="s">
        <v>23</v>
      </c>
      <c r="C16" s="19" t="s">
        <v>23</v>
      </c>
      <c r="D16" s="20" t="s">
        <v>18</v>
      </c>
      <c r="E16" s="20" t="s">
        <v>19</v>
      </c>
      <c r="F16" s="21" t="s">
        <v>60</v>
      </c>
      <c r="G16" s="22">
        <v>37.14</v>
      </c>
      <c r="H16" s="22">
        <v>55</v>
      </c>
      <c r="I16" s="23">
        <f>IF(AND(G16&lt;&gt;"",H16&lt;&gt;""),H16/G16-1,"")</f>
        <v>0.48088314485729677</v>
      </c>
      <c r="J16" s="24" t="s">
        <v>61</v>
      </c>
      <c r="K16" s="24" t="s">
        <v>62</v>
      </c>
      <c r="L16" s="20" t="s">
        <v>51</v>
      </c>
      <c r="M16" s="20" t="s">
        <v>24</v>
      </c>
      <c r="N16" s="24" t="s">
        <v>63</v>
      </c>
    </row>
    <row r="17" spans="1:14" ht="30" customHeight="1" x14ac:dyDescent="0.25">
      <c r="A17" s="25">
        <v>11</v>
      </c>
      <c r="B17" s="26" t="s">
        <v>64</v>
      </c>
      <c r="C17" s="26" t="s">
        <v>64</v>
      </c>
      <c r="D17" s="27" t="s">
        <v>35</v>
      </c>
      <c r="E17" s="27" t="s">
        <v>19</v>
      </c>
      <c r="F17" s="28" t="s">
        <v>65</v>
      </c>
      <c r="G17" s="29">
        <v>408</v>
      </c>
      <c r="H17" s="30" t="s">
        <v>66</v>
      </c>
      <c r="I17" s="31"/>
      <c r="J17" s="32" t="s">
        <v>67</v>
      </c>
      <c r="K17" s="32" t="s">
        <v>68</v>
      </c>
      <c r="L17" s="27" t="s">
        <v>51</v>
      </c>
      <c r="M17" s="27" t="s">
        <v>24</v>
      </c>
      <c r="N17" s="32" t="s">
        <v>69</v>
      </c>
    </row>
    <row r="18" spans="1:14" ht="21.75" customHeight="1" x14ac:dyDescent="0.25">
      <c r="A18" s="18">
        <v>12</v>
      </c>
      <c r="B18" s="19" t="s">
        <v>70</v>
      </c>
      <c r="C18" s="19" t="s">
        <v>70</v>
      </c>
      <c r="D18" s="20" t="s">
        <v>35</v>
      </c>
      <c r="E18" s="20" t="s">
        <v>19</v>
      </c>
      <c r="F18" s="21" t="s">
        <v>71</v>
      </c>
      <c r="G18" s="22">
        <v>201.33</v>
      </c>
      <c r="H18" s="22">
        <v>290</v>
      </c>
      <c r="I18" s="23">
        <f t="shared" ref="I18:I23" si="1">IF(AND(G18&lt;&gt;"",H18&lt;&gt;""),H18/G18-1,"")</f>
        <v>0.44042119902647392</v>
      </c>
      <c r="J18" s="24" t="s">
        <v>72</v>
      </c>
      <c r="K18" s="24" t="s">
        <v>73</v>
      </c>
      <c r="L18" s="20" t="s">
        <v>51</v>
      </c>
      <c r="M18" s="20" t="s">
        <v>24</v>
      </c>
      <c r="N18" s="24"/>
    </row>
    <row r="19" spans="1:14" ht="30" customHeight="1" x14ac:dyDescent="0.25">
      <c r="A19" s="18">
        <v>13</v>
      </c>
      <c r="B19" s="19" t="s">
        <v>74</v>
      </c>
      <c r="C19" s="19" t="s">
        <v>74</v>
      </c>
      <c r="D19" s="20" t="s">
        <v>35</v>
      </c>
      <c r="E19" s="20" t="s">
        <v>19</v>
      </c>
      <c r="F19" s="21" t="s">
        <v>75</v>
      </c>
      <c r="G19" s="22">
        <v>31</v>
      </c>
      <c r="H19" s="22">
        <v>42</v>
      </c>
      <c r="I19" s="23">
        <f t="shared" si="1"/>
        <v>0.35483870967741926</v>
      </c>
      <c r="J19" s="24" t="s">
        <v>76</v>
      </c>
      <c r="K19" s="24" t="s">
        <v>77</v>
      </c>
      <c r="L19" s="20" t="s">
        <v>51</v>
      </c>
      <c r="M19" s="20" t="s">
        <v>24</v>
      </c>
      <c r="N19" s="24" t="s">
        <v>78</v>
      </c>
    </row>
    <row r="20" spans="1:14" ht="21.75" customHeight="1" x14ac:dyDescent="0.25">
      <c r="A20" s="18">
        <v>14</v>
      </c>
      <c r="B20" s="19" t="s">
        <v>79</v>
      </c>
      <c r="C20" s="19" t="s">
        <v>79</v>
      </c>
      <c r="D20" s="20" t="s">
        <v>80</v>
      </c>
      <c r="E20" s="20" t="s">
        <v>19</v>
      </c>
      <c r="F20" s="21" t="s">
        <v>81</v>
      </c>
      <c r="G20" s="22">
        <v>12.23</v>
      </c>
      <c r="H20" s="22">
        <v>21</v>
      </c>
      <c r="I20" s="23">
        <f t="shared" si="1"/>
        <v>0.71708912510220757</v>
      </c>
      <c r="J20" s="24" t="s">
        <v>82</v>
      </c>
      <c r="K20" s="24" t="s">
        <v>83</v>
      </c>
      <c r="L20" s="20" t="s">
        <v>51</v>
      </c>
      <c r="M20" s="20" t="s">
        <v>24</v>
      </c>
      <c r="N20" s="24"/>
    </row>
    <row r="21" spans="1:14" ht="21.75" customHeight="1" x14ac:dyDescent="0.25">
      <c r="A21" s="18">
        <v>15</v>
      </c>
      <c r="B21" s="19" t="s">
        <v>84</v>
      </c>
      <c r="C21" s="19" t="s">
        <v>84</v>
      </c>
      <c r="D21" s="20" t="s">
        <v>18</v>
      </c>
      <c r="E21" s="20" t="s">
        <v>19</v>
      </c>
      <c r="F21" s="21" t="s">
        <v>85</v>
      </c>
      <c r="G21" s="22">
        <v>208.4</v>
      </c>
      <c r="H21" s="22">
        <v>283</v>
      </c>
      <c r="I21" s="23">
        <f t="shared" si="1"/>
        <v>0.35796545105566224</v>
      </c>
      <c r="J21" s="24" t="s">
        <v>86</v>
      </c>
      <c r="K21" s="24" t="s">
        <v>87</v>
      </c>
      <c r="L21" s="20" t="s">
        <v>51</v>
      </c>
      <c r="M21" s="20" t="s">
        <v>24</v>
      </c>
      <c r="N21" s="24"/>
    </row>
    <row r="22" spans="1:14" ht="21.75" customHeight="1" x14ac:dyDescent="0.25">
      <c r="A22" s="18">
        <v>16</v>
      </c>
      <c r="B22" s="19" t="s">
        <v>88</v>
      </c>
      <c r="C22" s="19" t="s">
        <v>88</v>
      </c>
      <c r="D22" s="20" t="s">
        <v>18</v>
      </c>
      <c r="E22" s="20" t="s">
        <v>19</v>
      </c>
      <c r="F22" s="21" t="s">
        <v>89</v>
      </c>
      <c r="G22" s="22">
        <v>3.83</v>
      </c>
      <c r="H22" s="22">
        <v>7.79</v>
      </c>
      <c r="I22" s="23">
        <f t="shared" si="1"/>
        <v>1.0339425587467361</v>
      </c>
      <c r="J22" s="24" t="s">
        <v>90</v>
      </c>
      <c r="K22" s="24" t="s">
        <v>91</v>
      </c>
      <c r="L22" s="20" t="s">
        <v>51</v>
      </c>
      <c r="M22" s="20" t="s">
        <v>24</v>
      </c>
      <c r="N22" s="24"/>
    </row>
    <row r="23" spans="1:14" ht="21.75" customHeight="1" x14ac:dyDescent="0.25">
      <c r="A23" s="18">
        <v>17</v>
      </c>
      <c r="B23" s="19" t="s">
        <v>92</v>
      </c>
      <c r="C23" s="19" t="s">
        <v>92</v>
      </c>
      <c r="D23" s="20" t="s">
        <v>35</v>
      </c>
      <c r="E23" s="20" t="s">
        <v>19</v>
      </c>
      <c r="F23" s="21" t="s">
        <v>93</v>
      </c>
      <c r="G23" s="22">
        <v>313.10000000000002</v>
      </c>
      <c r="H23" s="22">
        <v>400</v>
      </c>
      <c r="I23" s="23">
        <f t="shared" si="1"/>
        <v>0.27754710954966466</v>
      </c>
      <c r="J23" s="24" t="s">
        <v>94</v>
      </c>
      <c r="K23" s="24" t="s">
        <v>95</v>
      </c>
      <c r="L23" s="20" t="s">
        <v>51</v>
      </c>
      <c r="M23" s="20" t="s">
        <v>24</v>
      </c>
      <c r="N23" s="24"/>
    </row>
    <row r="24" spans="1:14" ht="30" customHeight="1" x14ac:dyDescent="0.25">
      <c r="A24" s="33">
        <v>18</v>
      </c>
      <c r="B24" s="34" t="s">
        <v>96</v>
      </c>
      <c r="C24" s="34" t="s">
        <v>96</v>
      </c>
      <c r="D24" s="35" t="s">
        <v>18</v>
      </c>
      <c r="E24" s="35" t="s">
        <v>19</v>
      </c>
      <c r="F24" s="36" t="s">
        <v>97</v>
      </c>
      <c r="G24" s="37" t="s">
        <v>98</v>
      </c>
      <c r="H24" s="37" t="s">
        <v>66</v>
      </c>
      <c r="I24" s="38"/>
      <c r="J24" s="39" t="s">
        <v>99</v>
      </c>
      <c r="K24" s="39" t="s">
        <v>100</v>
      </c>
      <c r="L24" s="35" t="s">
        <v>51</v>
      </c>
      <c r="M24" s="35" t="s">
        <v>101</v>
      </c>
      <c r="N24" s="39" t="s">
        <v>102</v>
      </c>
    </row>
    <row r="25" spans="1:14" ht="30" customHeight="1" x14ac:dyDescent="0.25">
      <c r="A25" s="33">
        <v>19</v>
      </c>
      <c r="B25" s="34" t="s">
        <v>103</v>
      </c>
      <c r="C25" s="34" t="s">
        <v>103</v>
      </c>
      <c r="D25" s="35" t="s">
        <v>18</v>
      </c>
      <c r="E25" s="35" t="s">
        <v>19</v>
      </c>
      <c r="F25" s="36" t="s">
        <v>104</v>
      </c>
      <c r="G25" s="37" t="s">
        <v>98</v>
      </c>
      <c r="H25" s="37" t="s">
        <v>66</v>
      </c>
      <c r="I25" s="38"/>
      <c r="J25" s="39" t="s">
        <v>105</v>
      </c>
      <c r="K25" s="39" t="s">
        <v>106</v>
      </c>
      <c r="L25" s="35" t="s">
        <v>51</v>
      </c>
      <c r="M25" s="35" t="s">
        <v>101</v>
      </c>
      <c r="N25" s="39" t="s">
        <v>107</v>
      </c>
    </row>
    <row r="26" spans="1:14" ht="30" customHeight="1" x14ac:dyDescent="0.25">
      <c r="A26" s="33">
        <v>20</v>
      </c>
      <c r="B26" s="34" t="s">
        <v>108</v>
      </c>
      <c r="C26" s="34" t="s">
        <v>108</v>
      </c>
      <c r="D26" s="35" t="s">
        <v>30</v>
      </c>
      <c r="E26" s="35" t="s">
        <v>19</v>
      </c>
      <c r="F26" s="36" t="s">
        <v>109</v>
      </c>
      <c r="G26" s="37" t="s">
        <v>98</v>
      </c>
      <c r="H26" s="37" t="s">
        <v>66</v>
      </c>
      <c r="I26" s="38"/>
      <c r="J26" s="39" t="s">
        <v>110</v>
      </c>
      <c r="K26" s="39" t="s">
        <v>111</v>
      </c>
      <c r="L26" s="35" t="s">
        <v>51</v>
      </c>
      <c r="M26" s="35" t="s">
        <v>101</v>
      </c>
      <c r="N26" s="39" t="s">
        <v>112</v>
      </c>
    </row>
    <row r="27" spans="1:14" ht="30" customHeight="1" x14ac:dyDescent="0.25">
      <c r="A27" s="33">
        <v>21</v>
      </c>
      <c r="B27" s="34" t="s">
        <v>113</v>
      </c>
      <c r="C27" s="34" t="s">
        <v>113</v>
      </c>
      <c r="D27" s="35" t="s">
        <v>30</v>
      </c>
      <c r="E27" s="35" t="s">
        <v>19</v>
      </c>
      <c r="F27" s="36" t="s">
        <v>114</v>
      </c>
      <c r="G27" s="37" t="s">
        <v>98</v>
      </c>
      <c r="H27" s="37" t="s">
        <v>66</v>
      </c>
      <c r="I27" s="38"/>
      <c r="J27" s="39" t="s">
        <v>115</v>
      </c>
      <c r="K27" s="39" t="s">
        <v>111</v>
      </c>
      <c r="L27" s="35" t="s">
        <v>51</v>
      </c>
      <c r="M27" s="35" t="s">
        <v>101</v>
      </c>
      <c r="N27" s="39" t="s">
        <v>116</v>
      </c>
    </row>
    <row r="28" spans="1:14" ht="30" customHeight="1" x14ac:dyDescent="0.25">
      <c r="A28" s="33">
        <v>22</v>
      </c>
      <c r="B28" s="34" t="s">
        <v>117</v>
      </c>
      <c r="C28" s="34" t="s">
        <v>117</v>
      </c>
      <c r="D28" s="35" t="s">
        <v>30</v>
      </c>
      <c r="E28" s="35" t="s">
        <v>19</v>
      </c>
      <c r="F28" s="36" t="s">
        <v>118</v>
      </c>
      <c r="G28" s="37" t="s">
        <v>98</v>
      </c>
      <c r="H28" s="37" t="s">
        <v>66</v>
      </c>
      <c r="I28" s="38"/>
      <c r="J28" s="39" t="s">
        <v>119</v>
      </c>
      <c r="K28" s="39" t="s">
        <v>111</v>
      </c>
      <c r="L28" s="35" t="s">
        <v>51</v>
      </c>
      <c r="M28" s="35" t="s">
        <v>101</v>
      </c>
      <c r="N28" s="39" t="s">
        <v>120</v>
      </c>
    </row>
    <row r="29" spans="1:14" ht="30" customHeight="1" x14ac:dyDescent="0.25">
      <c r="A29" s="33">
        <v>23</v>
      </c>
      <c r="B29" s="34" t="s">
        <v>121</v>
      </c>
      <c r="C29" s="34" t="s">
        <v>121</v>
      </c>
      <c r="D29" s="35" t="s">
        <v>30</v>
      </c>
      <c r="E29" s="35" t="s">
        <v>19</v>
      </c>
      <c r="F29" s="36" t="s">
        <v>122</v>
      </c>
      <c r="G29" s="37" t="s">
        <v>98</v>
      </c>
      <c r="H29" s="37" t="s">
        <v>66</v>
      </c>
      <c r="I29" s="38"/>
      <c r="J29" s="39" t="s">
        <v>123</v>
      </c>
      <c r="K29" s="39" t="s">
        <v>111</v>
      </c>
      <c r="L29" s="35" t="s">
        <v>51</v>
      </c>
      <c r="M29" s="35" t="s">
        <v>101</v>
      </c>
      <c r="N29" s="39" t="s">
        <v>124</v>
      </c>
    </row>
    <row r="30" spans="1:14" ht="30" customHeight="1" x14ac:dyDescent="0.25">
      <c r="A30" s="33">
        <v>24</v>
      </c>
      <c r="B30" s="34" t="s">
        <v>125</v>
      </c>
      <c r="C30" s="34" t="s">
        <v>125</v>
      </c>
      <c r="D30" s="35" t="s">
        <v>18</v>
      </c>
      <c r="E30" s="35" t="s">
        <v>19</v>
      </c>
      <c r="F30" s="36" t="s">
        <v>126</v>
      </c>
      <c r="G30" s="37" t="s">
        <v>98</v>
      </c>
      <c r="H30" s="37" t="s">
        <v>66</v>
      </c>
      <c r="I30" s="38"/>
      <c r="J30" s="39" t="s">
        <v>127</v>
      </c>
      <c r="K30" s="39" t="s">
        <v>111</v>
      </c>
      <c r="L30" s="35" t="s">
        <v>51</v>
      </c>
      <c r="M30" s="35" t="s">
        <v>101</v>
      </c>
      <c r="N30" s="39" t="s">
        <v>128</v>
      </c>
    </row>
    <row r="31" spans="1:14" ht="30" customHeight="1" x14ac:dyDescent="0.25">
      <c r="A31" s="33">
        <v>25</v>
      </c>
      <c r="B31" s="34" t="s">
        <v>129</v>
      </c>
      <c r="C31" s="34" t="s">
        <v>130</v>
      </c>
      <c r="D31" s="35" t="s">
        <v>131</v>
      </c>
      <c r="E31" s="35" t="s">
        <v>132</v>
      </c>
      <c r="F31" s="36" t="s">
        <v>133</v>
      </c>
      <c r="G31" s="37" t="s">
        <v>98</v>
      </c>
      <c r="H31" s="37" t="s">
        <v>66</v>
      </c>
      <c r="I31" s="38"/>
      <c r="J31" s="39" t="s">
        <v>134</v>
      </c>
      <c r="K31" s="39" t="s">
        <v>111</v>
      </c>
      <c r="L31" s="35" t="s">
        <v>51</v>
      </c>
      <c r="M31" s="35" t="s">
        <v>101</v>
      </c>
      <c r="N31" s="39" t="s">
        <v>135</v>
      </c>
    </row>
    <row r="32" spans="1:14" ht="30" customHeight="1" x14ac:dyDescent="0.25">
      <c r="A32" s="33">
        <v>26</v>
      </c>
      <c r="B32" s="34" t="s">
        <v>136</v>
      </c>
      <c r="C32" s="34" t="s">
        <v>136</v>
      </c>
      <c r="D32" s="35" t="s">
        <v>18</v>
      </c>
      <c r="E32" s="35" t="s">
        <v>19</v>
      </c>
      <c r="F32" s="36" t="s">
        <v>137</v>
      </c>
      <c r="G32" s="37" t="s">
        <v>98</v>
      </c>
      <c r="H32" s="37" t="s">
        <v>66</v>
      </c>
      <c r="I32" s="38"/>
      <c r="J32" s="39" t="s">
        <v>138</v>
      </c>
      <c r="K32" s="39" t="s">
        <v>139</v>
      </c>
      <c r="L32" s="35" t="s">
        <v>51</v>
      </c>
      <c r="M32" s="35" t="s">
        <v>101</v>
      </c>
      <c r="N32" s="39" t="s">
        <v>140</v>
      </c>
    </row>
    <row r="34" spans="1:14" ht="18" customHeight="1" x14ac:dyDescent="0.25">
      <c r="A34" s="5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21.75" customHeight="1" x14ac:dyDescent="0.25">
      <c r="A35" s="40">
        <v>27</v>
      </c>
      <c r="B35" s="41" t="s">
        <v>142</v>
      </c>
      <c r="C35" s="41" t="s">
        <v>142</v>
      </c>
      <c r="D35" s="42" t="s">
        <v>35</v>
      </c>
      <c r="E35" s="42" t="s">
        <v>19</v>
      </c>
      <c r="F35" s="43" t="s">
        <v>143</v>
      </c>
      <c r="G35" s="44">
        <v>6.34</v>
      </c>
      <c r="H35" s="44">
        <v>11</v>
      </c>
      <c r="I35" s="45">
        <f>IF(AND(G35&lt;&gt;"",H35&lt;&gt;""),H35/G35-1,"")</f>
        <v>0.73501577287066255</v>
      </c>
      <c r="J35" s="46" t="s">
        <v>144</v>
      </c>
      <c r="K35" s="46" t="s">
        <v>145</v>
      </c>
      <c r="L35" s="42" t="s">
        <v>146</v>
      </c>
      <c r="M35" s="42" t="s">
        <v>24</v>
      </c>
      <c r="N35" s="46"/>
    </row>
    <row r="36" spans="1:14" ht="21.75" customHeight="1" x14ac:dyDescent="0.25">
      <c r="A36" s="40">
        <v>28</v>
      </c>
      <c r="B36" s="41" t="s">
        <v>147</v>
      </c>
      <c r="C36" s="41" t="s">
        <v>147</v>
      </c>
      <c r="D36" s="42" t="s">
        <v>35</v>
      </c>
      <c r="E36" s="42" t="s">
        <v>19</v>
      </c>
      <c r="F36" s="43" t="s">
        <v>148</v>
      </c>
      <c r="G36" s="44">
        <v>8.9</v>
      </c>
      <c r="H36" s="44">
        <v>12</v>
      </c>
      <c r="I36" s="45">
        <f>IF(AND(G36&lt;&gt;"",H36&lt;&gt;""),H36/G36-1,"")</f>
        <v>0.348314606741573</v>
      </c>
      <c r="J36" s="46" t="s">
        <v>149</v>
      </c>
      <c r="K36" s="46" t="s">
        <v>150</v>
      </c>
      <c r="L36" s="42" t="s">
        <v>146</v>
      </c>
      <c r="M36" s="42" t="s">
        <v>24</v>
      </c>
      <c r="N36" s="46"/>
    </row>
    <row r="37" spans="1:14" ht="21.75" customHeight="1" x14ac:dyDescent="0.25">
      <c r="A37" s="40">
        <v>29</v>
      </c>
      <c r="B37" s="41" t="s">
        <v>151</v>
      </c>
      <c r="C37" s="41" t="s">
        <v>151</v>
      </c>
      <c r="D37" s="42" t="s">
        <v>35</v>
      </c>
      <c r="E37" s="42" t="s">
        <v>19</v>
      </c>
      <c r="F37" s="43" t="s">
        <v>152</v>
      </c>
      <c r="G37" s="44">
        <v>2.41</v>
      </c>
      <c r="H37" s="47" t="s">
        <v>66</v>
      </c>
      <c r="I37" s="45"/>
      <c r="J37" s="46" t="s">
        <v>153</v>
      </c>
      <c r="K37" s="46" t="s">
        <v>154</v>
      </c>
      <c r="L37" s="42" t="s">
        <v>146</v>
      </c>
      <c r="M37" s="42" t="s">
        <v>24</v>
      </c>
      <c r="N37" s="46"/>
    </row>
    <row r="38" spans="1:14" ht="21.75" customHeight="1" x14ac:dyDescent="0.25">
      <c r="A38" s="40">
        <v>30</v>
      </c>
      <c r="B38" s="41" t="s">
        <v>155</v>
      </c>
      <c r="C38" s="41" t="s">
        <v>155</v>
      </c>
      <c r="D38" s="42" t="s">
        <v>18</v>
      </c>
      <c r="E38" s="42" t="s">
        <v>19</v>
      </c>
      <c r="F38" s="43" t="s">
        <v>156</v>
      </c>
      <c r="G38" s="44">
        <v>4.5</v>
      </c>
      <c r="H38" s="47" t="s">
        <v>66</v>
      </c>
      <c r="I38" s="45"/>
      <c r="J38" s="46" t="s">
        <v>157</v>
      </c>
      <c r="K38" s="46" t="s">
        <v>158</v>
      </c>
      <c r="L38" s="42" t="s">
        <v>146</v>
      </c>
      <c r="M38" s="42" t="s">
        <v>24</v>
      </c>
      <c r="N38" s="46"/>
    </row>
    <row r="39" spans="1:14" ht="21.75" customHeight="1" x14ac:dyDescent="0.25">
      <c r="A39" s="40">
        <v>31</v>
      </c>
      <c r="B39" s="41" t="s">
        <v>159</v>
      </c>
      <c r="C39" s="41" t="s">
        <v>159</v>
      </c>
      <c r="D39" s="42" t="s">
        <v>35</v>
      </c>
      <c r="E39" s="42" t="s">
        <v>19</v>
      </c>
      <c r="F39" s="43" t="s">
        <v>160</v>
      </c>
      <c r="G39" s="44">
        <v>13.5</v>
      </c>
      <c r="H39" s="44">
        <v>17</v>
      </c>
      <c r="I39" s="45">
        <f>IF(AND(G39&lt;&gt;"",H39&lt;&gt;""),H39/G39-1,"")</f>
        <v>0.2592592592592593</v>
      </c>
      <c r="J39" s="46" t="s">
        <v>161</v>
      </c>
      <c r="K39" s="46" t="s">
        <v>162</v>
      </c>
      <c r="L39" s="42" t="s">
        <v>146</v>
      </c>
      <c r="M39" s="42" t="s">
        <v>24</v>
      </c>
      <c r="N39" s="46"/>
    </row>
    <row r="40" spans="1:14" ht="21.75" customHeight="1" x14ac:dyDescent="0.25">
      <c r="A40" s="40">
        <v>32</v>
      </c>
      <c r="B40" s="41" t="s">
        <v>163</v>
      </c>
      <c r="C40" s="41" t="s">
        <v>163</v>
      </c>
      <c r="D40" s="42" t="s">
        <v>35</v>
      </c>
      <c r="E40" s="42" t="s">
        <v>19</v>
      </c>
      <c r="F40" s="43" t="s">
        <v>164</v>
      </c>
      <c r="G40" s="44">
        <v>10.51</v>
      </c>
      <c r="H40" s="44">
        <v>18.399999999999999</v>
      </c>
      <c r="I40" s="45">
        <f>IF(AND(G40&lt;&gt;"",H40&lt;&gt;""),H40/G40-1,"")</f>
        <v>0.7507136060894386</v>
      </c>
      <c r="J40" s="46" t="s">
        <v>165</v>
      </c>
      <c r="K40" s="46" t="s">
        <v>166</v>
      </c>
      <c r="L40" s="42" t="s">
        <v>146</v>
      </c>
      <c r="M40" s="42" t="s">
        <v>24</v>
      </c>
      <c r="N40" s="46"/>
    </row>
  </sheetData>
  <mergeCells count="5">
    <mergeCell ref="A1:N1"/>
    <mergeCell ref="A2:N2"/>
    <mergeCell ref="A4:N4"/>
    <mergeCell ref="A12:N12"/>
    <mergeCell ref="A34:N34"/>
  </mergeCells>
  <conditionalFormatting sqref="I4:I41">
    <cfRule type="colorScale" priority="2">
      <colorScale>
        <cfvo type="num" val="-0.3"/>
        <cfvo type="num" val="0"/>
        <cfvo type="num" val="0.5"/>
        <color rgb="FFFF6B6B"/>
        <color rgb="FFFFFFFF"/>
        <color rgb="FF63B95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46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0" customWidth="1"/>
    <col min="2" max="3" width="12" customWidth="1"/>
    <col min="4" max="4" width="8" customWidth="1"/>
    <col min="5" max="5" width="22" customWidth="1"/>
    <col min="6" max="6" width="10" customWidth="1"/>
    <col min="7" max="7" width="51" bestFit="1" customWidth="1"/>
  </cols>
  <sheetData>
    <row r="1" spans="1:7" ht="25.5" customHeight="1" x14ac:dyDescent="0.25">
      <c r="A1" s="4" t="s">
        <v>167</v>
      </c>
      <c r="B1" s="4"/>
      <c r="C1" s="4"/>
      <c r="D1" s="4"/>
      <c r="E1" s="4"/>
      <c r="F1" s="4"/>
      <c r="G1" s="4"/>
    </row>
    <row r="3" spans="1:7" ht="19.5" customHeight="1" x14ac:dyDescent="0.25">
      <c r="A3" s="3" t="s">
        <v>168</v>
      </c>
      <c r="B3" s="3"/>
      <c r="C3" s="3"/>
      <c r="D3" s="3"/>
      <c r="E3" s="3"/>
      <c r="F3" s="3"/>
      <c r="G3" s="3"/>
    </row>
    <row r="4" spans="1:7" x14ac:dyDescent="0.25">
      <c r="A4" s="10" t="s">
        <v>5</v>
      </c>
      <c r="B4" s="10" t="s">
        <v>14</v>
      </c>
      <c r="C4" s="10" t="s">
        <v>15</v>
      </c>
    </row>
    <row r="5" spans="1:7" ht="18" customHeight="1" x14ac:dyDescent="0.25">
      <c r="A5" s="48" t="s">
        <v>169</v>
      </c>
      <c r="B5" s="49" t="s">
        <v>170</v>
      </c>
      <c r="C5" s="48" t="s">
        <v>171</v>
      </c>
    </row>
    <row r="6" spans="1:7" ht="18" customHeight="1" x14ac:dyDescent="0.25">
      <c r="A6" s="48" t="s">
        <v>172</v>
      </c>
      <c r="B6" s="49" t="s">
        <v>170</v>
      </c>
      <c r="C6" s="48" t="s">
        <v>173</v>
      </c>
    </row>
    <row r="7" spans="1:7" ht="18" customHeight="1" x14ac:dyDescent="0.25">
      <c r="A7" s="48" t="s">
        <v>174</v>
      </c>
      <c r="B7" s="49" t="s">
        <v>175</v>
      </c>
      <c r="C7" s="48" t="s">
        <v>176</v>
      </c>
    </row>
    <row r="8" spans="1:7" ht="18" customHeight="1" x14ac:dyDescent="0.25">
      <c r="A8" s="50" t="s">
        <v>177</v>
      </c>
      <c r="B8" s="51" t="s">
        <v>178</v>
      </c>
      <c r="C8" s="50" t="s">
        <v>179</v>
      </c>
    </row>
    <row r="9" spans="1:7" ht="18" customHeight="1" x14ac:dyDescent="0.25">
      <c r="A9" s="52" t="s">
        <v>180</v>
      </c>
      <c r="B9" s="53" t="s">
        <v>181</v>
      </c>
      <c r="C9" s="52" t="s">
        <v>182</v>
      </c>
    </row>
    <row r="10" spans="1:7" ht="18" customHeight="1" x14ac:dyDescent="0.25">
      <c r="A10" s="50" t="s">
        <v>183</v>
      </c>
      <c r="B10" s="51" t="s">
        <v>184</v>
      </c>
      <c r="C10" s="50" t="s">
        <v>185</v>
      </c>
    </row>
    <row r="13" spans="1:7" ht="19.5" customHeight="1" x14ac:dyDescent="0.25">
      <c r="A13" s="3" t="s">
        <v>186</v>
      </c>
      <c r="B13" s="3"/>
      <c r="C13" s="3"/>
      <c r="D13" s="3"/>
      <c r="E13" s="3"/>
      <c r="F13" s="3"/>
      <c r="G13" s="3"/>
    </row>
    <row r="14" spans="1:7" x14ac:dyDescent="0.25">
      <c r="A14" s="10" t="s">
        <v>3</v>
      </c>
      <c r="B14" s="10" t="s">
        <v>187</v>
      </c>
      <c r="C14" s="10" t="s">
        <v>188</v>
      </c>
      <c r="D14" s="10" t="s">
        <v>189</v>
      </c>
      <c r="E14" s="10" t="s">
        <v>190</v>
      </c>
      <c r="F14" s="10" t="s">
        <v>13</v>
      </c>
      <c r="G14" s="10" t="s">
        <v>191</v>
      </c>
    </row>
    <row r="15" spans="1:7" ht="18" customHeight="1" x14ac:dyDescent="0.25">
      <c r="A15" s="12" t="s">
        <v>17</v>
      </c>
      <c r="B15" s="12" t="s">
        <v>17</v>
      </c>
      <c r="C15" s="14" t="s">
        <v>192</v>
      </c>
      <c r="D15" s="14" t="s">
        <v>19</v>
      </c>
      <c r="E15" s="14" t="s">
        <v>193</v>
      </c>
      <c r="F15" s="14" t="s">
        <v>23</v>
      </c>
      <c r="G15" s="17" t="s">
        <v>194</v>
      </c>
    </row>
    <row r="16" spans="1:7" ht="18" customHeight="1" x14ac:dyDescent="0.25">
      <c r="A16" s="12" t="s">
        <v>25</v>
      </c>
      <c r="B16" s="12" t="s">
        <v>25</v>
      </c>
      <c r="C16" s="14" t="s">
        <v>192</v>
      </c>
      <c r="D16" s="14" t="s">
        <v>19</v>
      </c>
      <c r="E16" s="14" t="s">
        <v>193</v>
      </c>
      <c r="F16" s="14" t="s">
        <v>23</v>
      </c>
      <c r="G16" s="17" t="s">
        <v>194</v>
      </c>
    </row>
    <row r="17" spans="1:7" ht="18" customHeight="1" x14ac:dyDescent="0.25">
      <c r="A17" s="12" t="s">
        <v>28</v>
      </c>
      <c r="B17" s="12" t="s">
        <v>29</v>
      </c>
      <c r="C17" s="14" t="s">
        <v>195</v>
      </c>
      <c r="D17" s="14" t="s">
        <v>19</v>
      </c>
      <c r="E17" s="14" t="s">
        <v>196</v>
      </c>
      <c r="F17" s="14" t="s">
        <v>23</v>
      </c>
      <c r="G17" s="17" t="s">
        <v>197</v>
      </c>
    </row>
    <row r="18" spans="1:7" ht="18" customHeight="1" x14ac:dyDescent="0.25">
      <c r="A18" s="12" t="s">
        <v>34</v>
      </c>
      <c r="B18" s="12" t="s">
        <v>34</v>
      </c>
      <c r="C18" s="14" t="s">
        <v>198</v>
      </c>
      <c r="D18" s="14" t="s">
        <v>19</v>
      </c>
      <c r="E18" s="14" t="s">
        <v>193</v>
      </c>
      <c r="F18" s="14" t="s">
        <v>23</v>
      </c>
      <c r="G18" s="17" t="s">
        <v>199</v>
      </c>
    </row>
    <row r="19" spans="1:7" ht="18" customHeight="1" x14ac:dyDescent="0.25">
      <c r="A19" s="12" t="s">
        <v>38</v>
      </c>
      <c r="B19" s="12" t="s">
        <v>38</v>
      </c>
      <c r="C19" s="14" t="s">
        <v>192</v>
      </c>
      <c r="D19" s="14" t="s">
        <v>19</v>
      </c>
      <c r="E19" s="14" t="s">
        <v>193</v>
      </c>
      <c r="F19" s="14" t="s">
        <v>23</v>
      </c>
      <c r="G19" s="17" t="s">
        <v>194</v>
      </c>
    </row>
    <row r="20" spans="1:7" ht="18" customHeight="1" x14ac:dyDescent="0.25">
      <c r="A20" s="12" t="s">
        <v>42</v>
      </c>
      <c r="B20" s="12" t="s">
        <v>42</v>
      </c>
      <c r="C20" s="14" t="s">
        <v>192</v>
      </c>
      <c r="D20" s="14" t="s">
        <v>19</v>
      </c>
      <c r="E20" s="14" t="s">
        <v>193</v>
      </c>
      <c r="F20" s="14" t="s">
        <v>23</v>
      </c>
      <c r="G20" s="17" t="s">
        <v>194</v>
      </c>
    </row>
    <row r="21" spans="1:7" ht="18" customHeight="1" x14ac:dyDescent="0.25">
      <c r="A21" s="19" t="s">
        <v>47</v>
      </c>
      <c r="B21" s="19" t="s">
        <v>47</v>
      </c>
      <c r="C21" s="21" t="s">
        <v>192</v>
      </c>
      <c r="D21" s="21" t="s">
        <v>19</v>
      </c>
      <c r="E21" s="21" t="s">
        <v>193</v>
      </c>
      <c r="F21" s="21" t="s">
        <v>51</v>
      </c>
      <c r="G21" s="24" t="s">
        <v>194</v>
      </c>
    </row>
    <row r="22" spans="1:7" ht="18" customHeight="1" x14ac:dyDescent="0.25">
      <c r="A22" s="19" t="s">
        <v>52</v>
      </c>
      <c r="B22" s="19" t="s">
        <v>52</v>
      </c>
      <c r="C22" s="21" t="s">
        <v>192</v>
      </c>
      <c r="D22" s="21" t="s">
        <v>19</v>
      </c>
      <c r="E22" s="21" t="s">
        <v>193</v>
      </c>
      <c r="F22" s="21" t="s">
        <v>51</v>
      </c>
      <c r="G22" s="24" t="s">
        <v>194</v>
      </c>
    </row>
    <row r="23" spans="1:7" ht="18" customHeight="1" x14ac:dyDescent="0.25">
      <c r="A23" s="19" t="s">
        <v>56</v>
      </c>
      <c r="B23" s="19" t="s">
        <v>56</v>
      </c>
      <c r="C23" s="21" t="s">
        <v>192</v>
      </c>
      <c r="D23" s="21" t="s">
        <v>19</v>
      </c>
      <c r="E23" s="21" t="s">
        <v>193</v>
      </c>
      <c r="F23" s="21" t="s">
        <v>51</v>
      </c>
      <c r="G23" s="24" t="s">
        <v>194</v>
      </c>
    </row>
    <row r="24" spans="1:7" ht="18" customHeight="1" x14ac:dyDescent="0.25">
      <c r="A24" s="19" t="s">
        <v>23</v>
      </c>
      <c r="B24" s="19" t="s">
        <v>23</v>
      </c>
      <c r="C24" s="21" t="s">
        <v>192</v>
      </c>
      <c r="D24" s="21" t="s">
        <v>19</v>
      </c>
      <c r="E24" s="21" t="s">
        <v>193</v>
      </c>
      <c r="F24" s="21" t="s">
        <v>51</v>
      </c>
      <c r="G24" s="24" t="s">
        <v>194</v>
      </c>
    </row>
    <row r="25" spans="1:7" ht="18" customHeight="1" x14ac:dyDescent="0.25">
      <c r="A25" s="19" t="s">
        <v>64</v>
      </c>
      <c r="B25" s="19" t="s">
        <v>64</v>
      </c>
      <c r="C25" s="21" t="s">
        <v>198</v>
      </c>
      <c r="D25" s="21" t="s">
        <v>19</v>
      </c>
      <c r="E25" s="21" t="s">
        <v>193</v>
      </c>
      <c r="F25" s="21" t="s">
        <v>51</v>
      </c>
      <c r="G25" s="24" t="s">
        <v>199</v>
      </c>
    </row>
    <row r="26" spans="1:7" ht="18" customHeight="1" x14ac:dyDescent="0.25">
      <c r="A26" s="19" t="s">
        <v>70</v>
      </c>
      <c r="B26" s="19" t="s">
        <v>70</v>
      </c>
      <c r="C26" s="21" t="s">
        <v>198</v>
      </c>
      <c r="D26" s="21" t="s">
        <v>19</v>
      </c>
      <c r="E26" s="21" t="s">
        <v>193</v>
      </c>
      <c r="F26" s="21" t="s">
        <v>51</v>
      </c>
      <c r="G26" s="24" t="s">
        <v>199</v>
      </c>
    </row>
    <row r="27" spans="1:7" ht="18" customHeight="1" x14ac:dyDescent="0.25">
      <c r="A27" s="19" t="s">
        <v>74</v>
      </c>
      <c r="B27" s="19" t="s">
        <v>74</v>
      </c>
      <c r="C27" s="21" t="s">
        <v>198</v>
      </c>
      <c r="D27" s="21" t="s">
        <v>19</v>
      </c>
      <c r="E27" s="21" t="s">
        <v>193</v>
      </c>
      <c r="F27" s="21" t="s">
        <v>51</v>
      </c>
      <c r="G27" s="24" t="s">
        <v>199</v>
      </c>
    </row>
    <row r="28" spans="1:7" ht="18" customHeight="1" x14ac:dyDescent="0.25">
      <c r="A28" s="19" t="s">
        <v>79</v>
      </c>
      <c r="B28" s="19" t="s">
        <v>79</v>
      </c>
      <c r="C28" s="21" t="s">
        <v>200</v>
      </c>
      <c r="D28" s="21" t="s">
        <v>19</v>
      </c>
      <c r="E28" s="21" t="s">
        <v>193</v>
      </c>
      <c r="F28" s="21" t="s">
        <v>51</v>
      </c>
      <c r="G28" s="24" t="s">
        <v>201</v>
      </c>
    </row>
    <row r="29" spans="1:7" ht="18" customHeight="1" x14ac:dyDescent="0.25">
      <c r="A29" s="19" t="s">
        <v>84</v>
      </c>
      <c r="B29" s="19" t="s">
        <v>84</v>
      </c>
      <c r="C29" s="21" t="s">
        <v>192</v>
      </c>
      <c r="D29" s="21" t="s">
        <v>19</v>
      </c>
      <c r="E29" s="21" t="s">
        <v>193</v>
      </c>
      <c r="F29" s="21" t="s">
        <v>51</v>
      </c>
      <c r="G29" s="24" t="s">
        <v>194</v>
      </c>
    </row>
    <row r="30" spans="1:7" ht="18" customHeight="1" x14ac:dyDescent="0.25">
      <c r="A30" s="19" t="s">
        <v>88</v>
      </c>
      <c r="B30" s="19" t="s">
        <v>88</v>
      </c>
      <c r="C30" s="21" t="s">
        <v>192</v>
      </c>
      <c r="D30" s="21" t="s">
        <v>19</v>
      </c>
      <c r="E30" s="21" t="s">
        <v>193</v>
      </c>
      <c r="F30" s="21" t="s">
        <v>51</v>
      </c>
      <c r="G30" s="24" t="s">
        <v>194</v>
      </c>
    </row>
    <row r="31" spans="1:7" ht="18" customHeight="1" x14ac:dyDescent="0.25">
      <c r="A31" s="19" t="s">
        <v>92</v>
      </c>
      <c r="B31" s="19" t="s">
        <v>92</v>
      </c>
      <c r="C31" s="21" t="s">
        <v>198</v>
      </c>
      <c r="D31" s="21" t="s">
        <v>19</v>
      </c>
      <c r="E31" s="21" t="s">
        <v>193</v>
      </c>
      <c r="F31" s="21" t="s">
        <v>51</v>
      </c>
      <c r="G31" s="24" t="s">
        <v>199</v>
      </c>
    </row>
    <row r="32" spans="1:7" ht="18" customHeight="1" x14ac:dyDescent="0.25">
      <c r="A32" s="19" t="s">
        <v>96</v>
      </c>
      <c r="B32" s="19" t="s">
        <v>96</v>
      </c>
      <c r="C32" s="21" t="s">
        <v>192</v>
      </c>
      <c r="D32" s="21" t="s">
        <v>19</v>
      </c>
      <c r="E32" s="21" t="s">
        <v>193</v>
      </c>
      <c r="F32" s="21" t="s">
        <v>51</v>
      </c>
      <c r="G32" s="24" t="s">
        <v>194</v>
      </c>
    </row>
    <row r="33" spans="1:7" ht="18" customHeight="1" x14ac:dyDescent="0.25">
      <c r="A33" s="19" t="s">
        <v>103</v>
      </c>
      <c r="B33" s="19" t="s">
        <v>103</v>
      </c>
      <c r="C33" s="21" t="s">
        <v>192</v>
      </c>
      <c r="D33" s="21" t="s">
        <v>19</v>
      </c>
      <c r="E33" s="21" t="s">
        <v>193</v>
      </c>
      <c r="F33" s="21" t="s">
        <v>51</v>
      </c>
      <c r="G33" s="24" t="s">
        <v>194</v>
      </c>
    </row>
    <row r="34" spans="1:7" ht="18" customHeight="1" x14ac:dyDescent="0.25">
      <c r="A34" s="19" t="s">
        <v>108</v>
      </c>
      <c r="B34" s="19" t="s">
        <v>108</v>
      </c>
      <c r="C34" s="21" t="s">
        <v>195</v>
      </c>
      <c r="D34" s="21" t="s">
        <v>19</v>
      </c>
      <c r="E34" s="21" t="s">
        <v>196</v>
      </c>
      <c r="F34" s="21" t="s">
        <v>51</v>
      </c>
      <c r="G34" s="24" t="s">
        <v>197</v>
      </c>
    </row>
    <row r="35" spans="1:7" ht="18" customHeight="1" x14ac:dyDescent="0.25">
      <c r="A35" s="19" t="s">
        <v>113</v>
      </c>
      <c r="B35" s="19" t="s">
        <v>113</v>
      </c>
      <c r="C35" s="21" t="s">
        <v>195</v>
      </c>
      <c r="D35" s="21" t="s">
        <v>19</v>
      </c>
      <c r="E35" s="21" t="s">
        <v>196</v>
      </c>
      <c r="F35" s="21" t="s">
        <v>51</v>
      </c>
      <c r="G35" s="24" t="s">
        <v>197</v>
      </c>
    </row>
    <row r="36" spans="1:7" ht="18" customHeight="1" x14ac:dyDescent="0.25">
      <c r="A36" s="19" t="s">
        <v>117</v>
      </c>
      <c r="B36" s="19" t="s">
        <v>117</v>
      </c>
      <c r="C36" s="21" t="s">
        <v>195</v>
      </c>
      <c r="D36" s="21" t="s">
        <v>19</v>
      </c>
      <c r="E36" s="21" t="s">
        <v>196</v>
      </c>
      <c r="F36" s="21" t="s">
        <v>51</v>
      </c>
      <c r="G36" s="24" t="s">
        <v>197</v>
      </c>
    </row>
    <row r="37" spans="1:7" ht="18" customHeight="1" x14ac:dyDescent="0.25">
      <c r="A37" s="19" t="s">
        <v>121</v>
      </c>
      <c r="B37" s="19" t="s">
        <v>121</v>
      </c>
      <c r="C37" s="21" t="s">
        <v>195</v>
      </c>
      <c r="D37" s="21" t="s">
        <v>19</v>
      </c>
      <c r="E37" s="21" t="s">
        <v>196</v>
      </c>
      <c r="F37" s="21" t="s">
        <v>51</v>
      </c>
      <c r="G37" s="24" t="s">
        <v>197</v>
      </c>
    </row>
    <row r="38" spans="1:7" ht="18" customHeight="1" x14ac:dyDescent="0.25">
      <c r="A38" s="19" t="s">
        <v>125</v>
      </c>
      <c r="B38" s="19" t="s">
        <v>125</v>
      </c>
      <c r="C38" s="21" t="s">
        <v>192</v>
      </c>
      <c r="D38" s="21" t="s">
        <v>19</v>
      </c>
      <c r="E38" s="21" t="s">
        <v>193</v>
      </c>
      <c r="F38" s="21" t="s">
        <v>51</v>
      </c>
      <c r="G38" s="24" t="s">
        <v>194</v>
      </c>
    </row>
    <row r="39" spans="1:7" ht="18" customHeight="1" x14ac:dyDescent="0.25">
      <c r="A39" s="19" t="s">
        <v>129</v>
      </c>
      <c r="B39" s="19" t="s">
        <v>130</v>
      </c>
      <c r="C39" s="21" t="s">
        <v>202</v>
      </c>
      <c r="D39" s="21" t="s">
        <v>132</v>
      </c>
      <c r="E39" s="21" t="s">
        <v>203</v>
      </c>
      <c r="F39" s="21" t="s">
        <v>51</v>
      </c>
      <c r="G39" s="24" t="s">
        <v>204</v>
      </c>
    </row>
    <row r="40" spans="1:7" ht="18" customHeight="1" x14ac:dyDescent="0.25">
      <c r="A40" s="19" t="s">
        <v>136</v>
      </c>
      <c r="B40" s="19" t="s">
        <v>136</v>
      </c>
      <c r="C40" s="21" t="s">
        <v>192</v>
      </c>
      <c r="D40" s="21" t="s">
        <v>19</v>
      </c>
      <c r="E40" s="21" t="s">
        <v>193</v>
      </c>
      <c r="F40" s="21" t="s">
        <v>51</v>
      </c>
      <c r="G40" s="24" t="s">
        <v>194</v>
      </c>
    </row>
    <row r="41" spans="1:7" ht="18" customHeight="1" x14ac:dyDescent="0.25">
      <c r="A41" s="41" t="s">
        <v>142</v>
      </c>
      <c r="B41" s="41" t="s">
        <v>142</v>
      </c>
      <c r="C41" s="43" t="s">
        <v>198</v>
      </c>
      <c r="D41" s="43" t="s">
        <v>19</v>
      </c>
      <c r="E41" s="43" t="s">
        <v>193</v>
      </c>
      <c r="F41" s="43" t="s">
        <v>146</v>
      </c>
      <c r="G41" s="46" t="s">
        <v>199</v>
      </c>
    </row>
    <row r="42" spans="1:7" ht="18" customHeight="1" x14ac:dyDescent="0.25">
      <c r="A42" s="41" t="s">
        <v>147</v>
      </c>
      <c r="B42" s="41" t="s">
        <v>147</v>
      </c>
      <c r="C42" s="43" t="s">
        <v>198</v>
      </c>
      <c r="D42" s="43" t="s">
        <v>19</v>
      </c>
      <c r="E42" s="43" t="s">
        <v>193</v>
      </c>
      <c r="F42" s="43" t="s">
        <v>146</v>
      </c>
      <c r="G42" s="46" t="s">
        <v>199</v>
      </c>
    </row>
    <row r="43" spans="1:7" ht="18" customHeight="1" x14ac:dyDescent="0.25">
      <c r="A43" s="41" t="s">
        <v>151</v>
      </c>
      <c r="B43" s="41" t="s">
        <v>151</v>
      </c>
      <c r="C43" s="43" t="s">
        <v>198</v>
      </c>
      <c r="D43" s="43" t="s">
        <v>19</v>
      </c>
      <c r="E43" s="43" t="s">
        <v>193</v>
      </c>
      <c r="F43" s="43" t="s">
        <v>146</v>
      </c>
      <c r="G43" s="46" t="s">
        <v>199</v>
      </c>
    </row>
    <row r="44" spans="1:7" ht="18" customHeight="1" x14ac:dyDescent="0.25">
      <c r="A44" s="41" t="s">
        <v>155</v>
      </c>
      <c r="B44" s="41" t="s">
        <v>155</v>
      </c>
      <c r="C44" s="43" t="s">
        <v>192</v>
      </c>
      <c r="D44" s="43" t="s">
        <v>19</v>
      </c>
      <c r="E44" s="43" t="s">
        <v>193</v>
      </c>
      <c r="F44" s="43" t="s">
        <v>146</v>
      </c>
      <c r="G44" s="46" t="s">
        <v>194</v>
      </c>
    </row>
    <row r="45" spans="1:7" ht="18" customHeight="1" x14ac:dyDescent="0.25">
      <c r="A45" s="41" t="s">
        <v>159</v>
      </c>
      <c r="B45" s="41" t="s">
        <v>159</v>
      </c>
      <c r="C45" s="43" t="s">
        <v>198</v>
      </c>
      <c r="D45" s="43" t="s">
        <v>19</v>
      </c>
      <c r="E45" s="43" t="s">
        <v>193</v>
      </c>
      <c r="F45" s="43" t="s">
        <v>146</v>
      </c>
      <c r="G45" s="46" t="s">
        <v>199</v>
      </c>
    </row>
    <row r="46" spans="1:7" ht="18" customHeight="1" x14ac:dyDescent="0.25">
      <c r="A46" s="41" t="s">
        <v>163</v>
      </c>
      <c r="B46" s="41" t="s">
        <v>163</v>
      </c>
      <c r="C46" s="43" t="s">
        <v>198</v>
      </c>
      <c r="D46" s="43" t="s">
        <v>19</v>
      </c>
      <c r="E46" s="43" t="s">
        <v>193</v>
      </c>
      <c r="F46" s="43" t="s">
        <v>146</v>
      </c>
      <c r="G46" s="46" t="s">
        <v>199</v>
      </c>
    </row>
  </sheetData>
  <mergeCells count="3">
    <mergeCell ref="A1:G1"/>
    <mergeCell ref="A3:G3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860B"/>
  </sheetPr>
  <dimension ref="A1:D16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18" customWidth="1"/>
    <col min="2" max="2" width="38" customWidth="1"/>
    <col min="3" max="3" width="20" customWidth="1"/>
    <col min="4" max="4" width="35" customWidth="1"/>
  </cols>
  <sheetData>
    <row r="1" spans="1:4" ht="25.5" customHeight="1" x14ac:dyDescent="0.25">
      <c r="A1" s="4" t="s">
        <v>205</v>
      </c>
      <c r="B1" s="4"/>
      <c r="C1" s="4"/>
      <c r="D1" s="4"/>
    </row>
    <row r="3" spans="1:4" ht="19.5" customHeight="1" x14ac:dyDescent="0.25">
      <c r="A3" s="10" t="s">
        <v>206</v>
      </c>
      <c r="B3" s="10" t="s">
        <v>207</v>
      </c>
      <c r="C3" s="10" t="s">
        <v>208</v>
      </c>
      <c r="D3" s="10" t="s">
        <v>209</v>
      </c>
    </row>
    <row r="4" spans="1:4" ht="18" customHeight="1" x14ac:dyDescent="0.25">
      <c r="A4" s="19" t="s">
        <v>210</v>
      </c>
      <c r="B4" s="21" t="s">
        <v>211</v>
      </c>
      <c r="C4" s="21" t="s">
        <v>163</v>
      </c>
      <c r="D4" s="21"/>
    </row>
    <row r="5" spans="1:4" ht="18" customHeight="1" x14ac:dyDescent="0.25">
      <c r="A5" s="54" t="s">
        <v>212</v>
      </c>
      <c r="B5" s="55" t="s">
        <v>213</v>
      </c>
      <c r="C5" s="55" t="s">
        <v>25</v>
      </c>
      <c r="D5" s="55"/>
    </row>
    <row r="6" spans="1:4" ht="18" customHeight="1" x14ac:dyDescent="0.25">
      <c r="A6" s="19" t="s">
        <v>214</v>
      </c>
      <c r="B6" s="21" t="s">
        <v>215</v>
      </c>
      <c r="C6" s="21" t="s">
        <v>216</v>
      </c>
      <c r="D6" s="21"/>
    </row>
    <row r="7" spans="1:4" ht="18" customHeight="1" x14ac:dyDescent="0.25">
      <c r="A7" s="54" t="s">
        <v>217</v>
      </c>
      <c r="B7" s="55" t="s">
        <v>218</v>
      </c>
      <c r="C7" s="55" t="s">
        <v>151</v>
      </c>
      <c r="D7" s="55"/>
    </row>
    <row r="8" spans="1:4" ht="18" customHeight="1" x14ac:dyDescent="0.25">
      <c r="A8" s="19" t="s">
        <v>219</v>
      </c>
      <c r="B8" s="21" t="s">
        <v>220</v>
      </c>
      <c r="C8" s="21" t="s">
        <v>47</v>
      </c>
      <c r="D8" s="21"/>
    </row>
    <row r="9" spans="1:4" ht="18" customHeight="1" x14ac:dyDescent="0.25">
      <c r="A9" s="54" t="s">
        <v>221</v>
      </c>
      <c r="B9" s="55" t="s">
        <v>222</v>
      </c>
      <c r="C9" s="55" t="s">
        <v>64</v>
      </c>
      <c r="D9" s="55"/>
    </row>
    <row r="10" spans="1:4" ht="18" customHeight="1" x14ac:dyDescent="0.25">
      <c r="A10" s="19" t="s">
        <v>223</v>
      </c>
      <c r="B10" s="21" t="s">
        <v>224</v>
      </c>
      <c r="C10" s="21" t="s">
        <v>225</v>
      </c>
      <c r="D10" s="21"/>
    </row>
    <row r="11" spans="1:4" ht="18" customHeight="1" x14ac:dyDescent="0.25">
      <c r="A11" s="54" t="s">
        <v>226</v>
      </c>
      <c r="B11" s="55" t="s">
        <v>227</v>
      </c>
      <c r="C11" s="55" t="s">
        <v>42</v>
      </c>
      <c r="D11" s="55"/>
    </row>
    <row r="12" spans="1:4" ht="18" customHeight="1" x14ac:dyDescent="0.25">
      <c r="A12" s="19" t="s">
        <v>228</v>
      </c>
      <c r="B12" s="21" t="s">
        <v>229</v>
      </c>
      <c r="C12" s="21" t="s">
        <v>230</v>
      </c>
      <c r="D12" s="21"/>
    </row>
    <row r="13" spans="1:4" ht="18" customHeight="1" x14ac:dyDescent="0.25">
      <c r="A13" s="54" t="s">
        <v>231</v>
      </c>
      <c r="B13" s="55" t="s">
        <v>232</v>
      </c>
      <c r="C13" s="55" t="s">
        <v>125</v>
      </c>
      <c r="D13" s="55"/>
    </row>
    <row r="14" spans="1:4" ht="18" customHeight="1" x14ac:dyDescent="0.25">
      <c r="A14" s="19" t="s">
        <v>233</v>
      </c>
      <c r="B14" s="21" t="s">
        <v>234</v>
      </c>
      <c r="C14" s="21" t="s">
        <v>108</v>
      </c>
      <c r="D14" s="21"/>
    </row>
    <row r="15" spans="1:4" ht="18" customHeight="1" x14ac:dyDescent="0.25">
      <c r="A15" s="54" t="s">
        <v>235</v>
      </c>
      <c r="B15" s="55" t="s">
        <v>236</v>
      </c>
      <c r="C15" s="55" t="s">
        <v>237</v>
      </c>
      <c r="D15" s="55"/>
    </row>
    <row r="16" spans="1:4" ht="18" customHeight="1" x14ac:dyDescent="0.25">
      <c r="A16" s="19" t="s">
        <v>238</v>
      </c>
      <c r="B16" s="21" t="s">
        <v>239</v>
      </c>
      <c r="C16" s="21" t="s">
        <v>240</v>
      </c>
      <c r="D16" s="2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I35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14" customWidth="1"/>
    <col min="2" max="2" width="10" customWidth="1"/>
    <col min="3" max="4" width="8" customWidth="1"/>
    <col min="5" max="6" width="13" customWidth="1"/>
    <col min="7" max="7" width="10" customWidth="1"/>
    <col min="8" max="8" width="14" customWidth="1"/>
    <col min="9" max="9" width="12" customWidth="1"/>
  </cols>
  <sheetData>
    <row r="1" spans="1:9" ht="25.5" customHeight="1" x14ac:dyDescent="0.25">
      <c r="A1" s="4" t="s">
        <v>241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2" t="s">
        <v>242</v>
      </c>
      <c r="B2" s="2"/>
      <c r="C2" s="2"/>
      <c r="D2" s="2"/>
      <c r="E2" s="2"/>
      <c r="F2" s="2"/>
      <c r="G2" s="2"/>
      <c r="H2" s="2"/>
      <c r="I2" s="2"/>
    </row>
    <row r="3" spans="1:9" ht="19.5" customHeight="1" x14ac:dyDescent="0.25">
      <c r="A3" s="10" t="s">
        <v>206</v>
      </c>
      <c r="B3" s="10" t="s">
        <v>3</v>
      </c>
      <c r="C3" s="10" t="s">
        <v>243</v>
      </c>
      <c r="D3" s="10" t="s">
        <v>244</v>
      </c>
      <c r="E3" s="10" t="s">
        <v>8</v>
      </c>
      <c r="F3" s="10" t="s">
        <v>245</v>
      </c>
      <c r="G3" s="10" t="s">
        <v>14</v>
      </c>
      <c r="H3" s="10" t="s">
        <v>246</v>
      </c>
      <c r="I3" s="10" t="s">
        <v>247</v>
      </c>
    </row>
    <row r="4" spans="1:9" x14ac:dyDescent="0.25">
      <c r="A4" s="56"/>
      <c r="B4" s="57"/>
      <c r="C4" s="57"/>
      <c r="D4" s="58"/>
      <c r="E4" s="58"/>
      <c r="F4" s="58"/>
      <c r="G4" s="57"/>
      <c r="H4" s="59" t="str">
        <f t="shared" ref="H4:H33" si="0">IF(AND(D4&lt;&gt;"",E4&lt;&gt;"",F4&lt;&gt;""),IF(C4="buy",(F4-E4)*D4,(E4-F4)*D4),"")</f>
        <v/>
      </c>
      <c r="I4" s="60" t="str">
        <f t="shared" ref="I4:I33" si="1">IF(AND(E4&lt;&gt;"",F4&lt;&gt;""),IF(C4="buy",(F4-E4)/E4,(E4-F4)/E4),"")</f>
        <v/>
      </c>
    </row>
    <row r="5" spans="1:9" x14ac:dyDescent="0.25">
      <c r="A5" s="61"/>
      <c r="B5" s="62"/>
      <c r="C5" s="62"/>
      <c r="D5" s="63"/>
      <c r="E5" s="63"/>
      <c r="F5" s="63"/>
      <c r="G5" s="62"/>
      <c r="H5" s="64" t="str">
        <f t="shared" si="0"/>
        <v/>
      </c>
      <c r="I5" s="65" t="str">
        <f t="shared" si="1"/>
        <v/>
      </c>
    </row>
    <row r="6" spans="1:9" x14ac:dyDescent="0.25">
      <c r="A6" s="56"/>
      <c r="B6" s="57"/>
      <c r="C6" s="57"/>
      <c r="D6" s="58"/>
      <c r="E6" s="58"/>
      <c r="F6" s="58"/>
      <c r="G6" s="57"/>
      <c r="H6" s="59" t="str">
        <f t="shared" si="0"/>
        <v/>
      </c>
      <c r="I6" s="60" t="str">
        <f t="shared" si="1"/>
        <v/>
      </c>
    </row>
    <row r="7" spans="1:9" x14ac:dyDescent="0.25">
      <c r="A7" s="61"/>
      <c r="B7" s="62"/>
      <c r="C7" s="62"/>
      <c r="D7" s="63"/>
      <c r="E7" s="63"/>
      <c r="F7" s="63"/>
      <c r="G7" s="62"/>
      <c r="H7" s="64" t="str">
        <f t="shared" si="0"/>
        <v/>
      </c>
      <c r="I7" s="65" t="str">
        <f t="shared" si="1"/>
        <v/>
      </c>
    </row>
    <row r="8" spans="1:9" x14ac:dyDescent="0.25">
      <c r="A8" s="56"/>
      <c r="B8" s="57"/>
      <c r="C8" s="57"/>
      <c r="D8" s="58"/>
      <c r="E8" s="58"/>
      <c r="F8" s="58"/>
      <c r="G8" s="57"/>
      <c r="H8" s="59" t="str">
        <f t="shared" si="0"/>
        <v/>
      </c>
      <c r="I8" s="60" t="str">
        <f t="shared" si="1"/>
        <v/>
      </c>
    </row>
    <row r="9" spans="1:9" x14ac:dyDescent="0.25">
      <c r="A9" s="61"/>
      <c r="B9" s="62"/>
      <c r="C9" s="62"/>
      <c r="D9" s="63"/>
      <c r="E9" s="63"/>
      <c r="F9" s="63"/>
      <c r="G9" s="62"/>
      <c r="H9" s="64" t="str">
        <f t="shared" si="0"/>
        <v/>
      </c>
      <c r="I9" s="65" t="str">
        <f t="shared" si="1"/>
        <v/>
      </c>
    </row>
    <row r="10" spans="1:9" x14ac:dyDescent="0.25">
      <c r="A10" s="56"/>
      <c r="B10" s="57"/>
      <c r="C10" s="57"/>
      <c r="D10" s="58"/>
      <c r="E10" s="58"/>
      <c r="F10" s="58"/>
      <c r="G10" s="57"/>
      <c r="H10" s="59" t="str">
        <f t="shared" si="0"/>
        <v/>
      </c>
      <c r="I10" s="60" t="str">
        <f t="shared" si="1"/>
        <v/>
      </c>
    </row>
    <row r="11" spans="1:9" x14ac:dyDescent="0.25">
      <c r="A11" s="61"/>
      <c r="B11" s="62"/>
      <c r="C11" s="62"/>
      <c r="D11" s="63"/>
      <c r="E11" s="63"/>
      <c r="F11" s="63"/>
      <c r="G11" s="62"/>
      <c r="H11" s="64" t="str">
        <f t="shared" si="0"/>
        <v/>
      </c>
      <c r="I11" s="65" t="str">
        <f t="shared" si="1"/>
        <v/>
      </c>
    </row>
    <row r="12" spans="1:9" x14ac:dyDescent="0.25">
      <c r="A12" s="56"/>
      <c r="B12" s="57"/>
      <c r="C12" s="57"/>
      <c r="D12" s="58"/>
      <c r="E12" s="58"/>
      <c r="F12" s="58"/>
      <c r="G12" s="57"/>
      <c r="H12" s="59" t="str">
        <f t="shared" si="0"/>
        <v/>
      </c>
      <c r="I12" s="60" t="str">
        <f t="shared" si="1"/>
        <v/>
      </c>
    </row>
    <row r="13" spans="1:9" x14ac:dyDescent="0.25">
      <c r="A13" s="61"/>
      <c r="B13" s="62"/>
      <c r="C13" s="62"/>
      <c r="D13" s="63"/>
      <c r="E13" s="63"/>
      <c r="F13" s="63"/>
      <c r="G13" s="62"/>
      <c r="H13" s="64" t="str">
        <f t="shared" si="0"/>
        <v/>
      </c>
      <c r="I13" s="65" t="str">
        <f t="shared" si="1"/>
        <v/>
      </c>
    </row>
    <row r="14" spans="1:9" x14ac:dyDescent="0.25">
      <c r="A14" s="56"/>
      <c r="B14" s="57"/>
      <c r="C14" s="57"/>
      <c r="D14" s="58"/>
      <c r="E14" s="58"/>
      <c r="F14" s="58"/>
      <c r="G14" s="57"/>
      <c r="H14" s="59" t="str">
        <f t="shared" si="0"/>
        <v/>
      </c>
      <c r="I14" s="60" t="str">
        <f t="shared" si="1"/>
        <v/>
      </c>
    </row>
    <row r="15" spans="1:9" x14ac:dyDescent="0.25">
      <c r="A15" s="61"/>
      <c r="B15" s="62"/>
      <c r="C15" s="62"/>
      <c r="D15" s="63"/>
      <c r="E15" s="63"/>
      <c r="F15" s="63"/>
      <c r="G15" s="62"/>
      <c r="H15" s="64" t="str">
        <f t="shared" si="0"/>
        <v/>
      </c>
      <c r="I15" s="65" t="str">
        <f t="shared" si="1"/>
        <v/>
      </c>
    </row>
    <row r="16" spans="1:9" x14ac:dyDescent="0.25">
      <c r="A16" s="56"/>
      <c r="B16" s="57"/>
      <c r="C16" s="57"/>
      <c r="D16" s="58"/>
      <c r="E16" s="58"/>
      <c r="F16" s="58"/>
      <c r="G16" s="57"/>
      <c r="H16" s="59" t="str">
        <f t="shared" si="0"/>
        <v/>
      </c>
      <c r="I16" s="60" t="str">
        <f t="shared" si="1"/>
        <v/>
      </c>
    </row>
    <row r="17" spans="1:9" x14ac:dyDescent="0.25">
      <c r="A17" s="61"/>
      <c r="B17" s="62"/>
      <c r="C17" s="62"/>
      <c r="D17" s="63"/>
      <c r="E17" s="63"/>
      <c r="F17" s="63"/>
      <c r="G17" s="62"/>
      <c r="H17" s="64" t="str">
        <f t="shared" si="0"/>
        <v/>
      </c>
      <c r="I17" s="65" t="str">
        <f t="shared" si="1"/>
        <v/>
      </c>
    </row>
    <row r="18" spans="1:9" x14ac:dyDescent="0.25">
      <c r="A18" s="56"/>
      <c r="B18" s="57"/>
      <c r="C18" s="57"/>
      <c r="D18" s="58"/>
      <c r="E18" s="58"/>
      <c r="F18" s="58"/>
      <c r="G18" s="57"/>
      <c r="H18" s="59" t="str">
        <f t="shared" si="0"/>
        <v/>
      </c>
      <c r="I18" s="60" t="str">
        <f t="shared" si="1"/>
        <v/>
      </c>
    </row>
    <row r="19" spans="1:9" x14ac:dyDescent="0.25">
      <c r="A19" s="61"/>
      <c r="B19" s="62"/>
      <c r="C19" s="62"/>
      <c r="D19" s="63"/>
      <c r="E19" s="63"/>
      <c r="F19" s="63"/>
      <c r="G19" s="62"/>
      <c r="H19" s="64" t="str">
        <f t="shared" si="0"/>
        <v/>
      </c>
      <c r="I19" s="65" t="str">
        <f t="shared" si="1"/>
        <v/>
      </c>
    </row>
    <row r="20" spans="1:9" x14ac:dyDescent="0.25">
      <c r="A20" s="56"/>
      <c r="B20" s="57"/>
      <c r="C20" s="57"/>
      <c r="D20" s="58"/>
      <c r="E20" s="58"/>
      <c r="F20" s="58"/>
      <c r="G20" s="57"/>
      <c r="H20" s="59" t="str">
        <f t="shared" si="0"/>
        <v/>
      </c>
      <c r="I20" s="60" t="str">
        <f t="shared" si="1"/>
        <v/>
      </c>
    </row>
    <row r="21" spans="1:9" x14ac:dyDescent="0.25">
      <c r="A21" s="61"/>
      <c r="B21" s="62"/>
      <c r="C21" s="62"/>
      <c r="D21" s="63"/>
      <c r="E21" s="63"/>
      <c r="F21" s="63"/>
      <c r="G21" s="62"/>
      <c r="H21" s="64" t="str">
        <f t="shared" si="0"/>
        <v/>
      </c>
      <c r="I21" s="65" t="str">
        <f t="shared" si="1"/>
        <v/>
      </c>
    </row>
    <row r="22" spans="1:9" x14ac:dyDescent="0.25">
      <c r="A22" s="56"/>
      <c r="B22" s="57"/>
      <c r="C22" s="57"/>
      <c r="D22" s="58"/>
      <c r="E22" s="58"/>
      <c r="F22" s="58"/>
      <c r="G22" s="57"/>
      <c r="H22" s="59" t="str">
        <f t="shared" si="0"/>
        <v/>
      </c>
      <c r="I22" s="60" t="str">
        <f t="shared" si="1"/>
        <v/>
      </c>
    </row>
    <row r="23" spans="1:9" x14ac:dyDescent="0.25">
      <c r="A23" s="61"/>
      <c r="B23" s="62"/>
      <c r="C23" s="62"/>
      <c r="D23" s="63"/>
      <c r="E23" s="63"/>
      <c r="F23" s="63"/>
      <c r="G23" s="62"/>
      <c r="H23" s="64" t="str">
        <f t="shared" si="0"/>
        <v/>
      </c>
      <c r="I23" s="65" t="str">
        <f t="shared" si="1"/>
        <v/>
      </c>
    </row>
    <row r="24" spans="1:9" x14ac:dyDescent="0.25">
      <c r="A24" s="56"/>
      <c r="B24" s="57"/>
      <c r="C24" s="57"/>
      <c r="D24" s="58"/>
      <c r="E24" s="58"/>
      <c r="F24" s="58"/>
      <c r="G24" s="57"/>
      <c r="H24" s="59" t="str">
        <f t="shared" si="0"/>
        <v/>
      </c>
      <c r="I24" s="60" t="str">
        <f t="shared" si="1"/>
        <v/>
      </c>
    </row>
    <row r="25" spans="1:9" x14ac:dyDescent="0.25">
      <c r="A25" s="61"/>
      <c r="B25" s="62"/>
      <c r="C25" s="62"/>
      <c r="D25" s="63"/>
      <c r="E25" s="63"/>
      <c r="F25" s="63"/>
      <c r="G25" s="62"/>
      <c r="H25" s="64" t="str">
        <f t="shared" si="0"/>
        <v/>
      </c>
      <c r="I25" s="65" t="str">
        <f t="shared" si="1"/>
        <v/>
      </c>
    </row>
    <row r="26" spans="1:9" x14ac:dyDescent="0.25">
      <c r="A26" s="56"/>
      <c r="B26" s="57"/>
      <c r="C26" s="57"/>
      <c r="D26" s="58"/>
      <c r="E26" s="58"/>
      <c r="F26" s="58"/>
      <c r="G26" s="57"/>
      <c r="H26" s="59" t="str">
        <f t="shared" si="0"/>
        <v/>
      </c>
      <c r="I26" s="60" t="str">
        <f t="shared" si="1"/>
        <v/>
      </c>
    </row>
    <row r="27" spans="1:9" x14ac:dyDescent="0.25">
      <c r="A27" s="61"/>
      <c r="B27" s="62"/>
      <c r="C27" s="62"/>
      <c r="D27" s="63"/>
      <c r="E27" s="63"/>
      <c r="F27" s="63"/>
      <c r="G27" s="62"/>
      <c r="H27" s="64" t="str">
        <f t="shared" si="0"/>
        <v/>
      </c>
      <c r="I27" s="65" t="str">
        <f t="shared" si="1"/>
        <v/>
      </c>
    </row>
    <row r="28" spans="1:9" x14ac:dyDescent="0.25">
      <c r="A28" s="56"/>
      <c r="B28" s="57"/>
      <c r="C28" s="57"/>
      <c r="D28" s="58"/>
      <c r="E28" s="58"/>
      <c r="F28" s="58"/>
      <c r="G28" s="57"/>
      <c r="H28" s="59" t="str">
        <f t="shared" si="0"/>
        <v/>
      </c>
      <c r="I28" s="60" t="str">
        <f t="shared" si="1"/>
        <v/>
      </c>
    </row>
    <row r="29" spans="1:9" x14ac:dyDescent="0.25">
      <c r="A29" s="61"/>
      <c r="B29" s="62"/>
      <c r="C29" s="62"/>
      <c r="D29" s="63"/>
      <c r="E29" s="63"/>
      <c r="F29" s="63"/>
      <c r="G29" s="62"/>
      <c r="H29" s="64" t="str">
        <f t="shared" si="0"/>
        <v/>
      </c>
      <c r="I29" s="65" t="str">
        <f t="shared" si="1"/>
        <v/>
      </c>
    </row>
    <row r="30" spans="1:9" x14ac:dyDescent="0.25">
      <c r="A30" s="56"/>
      <c r="B30" s="57"/>
      <c r="C30" s="57"/>
      <c r="D30" s="58"/>
      <c r="E30" s="58"/>
      <c r="F30" s="58"/>
      <c r="G30" s="57"/>
      <c r="H30" s="59" t="str">
        <f t="shared" si="0"/>
        <v/>
      </c>
      <c r="I30" s="60" t="str">
        <f t="shared" si="1"/>
        <v/>
      </c>
    </row>
    <row r="31" spans="1:9" x14ac:dyDescent="0.25">
      <c r="A31" s="61"/>
      <c r="B31" s="62"/>
      <c r="C31" s="62"/>
      <c r="D31" s="63"/>
      <c r="E31" s="63"/>
      <c r="F31" s="63"/>
      <c r="G31" s="62"/>
      <c r="H31" s="64" t="str">
        <f t="shared" si="0"/>
        <v/>
      </c>
      <c r="I31" s="65" t="str">
        <f t="shared" si="1"/>
        <v/>
      </c>
    </row>
    <row r="32" spans="1:9" x14ac:dyDescent="0.25">
      <c r="A32" s="56"/>
      <c r="B32" s="57"/>
      <c r="C32" s="57"/>
      <c r="D32" s="58"/>
      <c r="E32" s="58"/>
      <c r="F32" s="58"/>
      <c r="G32" s="57"/>
      <c r="H32" s="59" t="str">
        <f t="shared" si="0"/>
        <v/>
      </c>
      <c r="I32" s="60" t="str">
        <f t="shared" si="1"/>
        <v/>
      </c>
    </row>
    <row r="33" spans="1:9" x14ac:dyDescent="0.25">
      <c r="A33" s="61"/>
      <c r="B33" s="62"/>
      <c r="C33" s="62"/>
      <c r="D33" s="63"/>
      <c r="E33" s="63"/>
      <c r="F33" s="63"/>
      <c r="G33" s="62"/>
      <c r="H33" s="64" t="str">
        <f t="shared" si="0"/>
        <v/>
      </c>
      <c r="I33" s="65" t="str">
        <f t="shared" si="1"/>
        <v/>
      </c>
    </row>
    <row r="35" spans="1:9" x14ac:dyDescent="0.25">
      <c r="A35" s="1" t="s">
        <v>248</v>
      </c>
      <c r="B35" s="1"/>
      <c r="C35" s="1"/>
      <c r="D35" s="1"/>
      <c r="E35" s="1"/>
      <c r="F35" s="1"/>
      <c r="G35" s="1"/>
      <c r="H35" s="66">
        <f>SUM(H4:H34)</f>
        <v>0</v>
      </c>
      <c r="I35" s="67"/>
    </row>
  </sheetData>
  <mergeCells count="3">
    <mergeCell ref="A1:I1"/>
    <mergeCell ref="A2:I2"/>
    <mergeCell ref="A35:G35"/>
  </mergeCells>
  <conditionalFormatting sqref="H4:H34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12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16" customWidth="1"/>
    <col min="2" max="2" width="20" customWidth="1"/>
    <col min="3" max="3" width="60" customWidth="1"/>
    <col min="4" max="4" width="28" customWidth="1"/>
    <col min="5" max="5" width="50.5703125" customWidth="1"/>
  </cols>
  <sheetData>
    <row r="1" spans="1:5" ht="25.5" customHeight="1" x14ac:dyDescent="0.25">
      <c r="A1" s="4" t="s">
        <v>249</v>
      </c>
      <c r="B1" s="4"/>
      <c r="C1" s="4"/>
      <c r="D1" s="4"/>
      <c r="E1" s="4"/>
    </row>
    <row r="3" spans="1:5" ht="19.5" customHeight="1" x14ac:dyDescent="0.25">
      <c r="A3" s="10" t="s">
        <v>250</v>
      </c>
      <c r="B3" s="10" t="s">
        <v>251</v>
      </c>
      <c r="C3" s="10" t="s">
        <v>252</v>
      </c>
      <c r="D3" s="10" t="s">
        <v>253</v>
      </c>
      <c r="E3" s="10" t="s">
        <v>208</v>
      </c>
    </row>
    <row r="4" spans="1:5" ht="49.5" customHeight="1" x14ac:dyDescent="0.25">
      <c r="A4" s="68" t="s">
        <v>254</v>
      </c>
      <c r="B4" s="69"/>
      <c r="C4" s="69" t="s">
        <v>255</v>
      </c>
      <c r="D4" s="69"/>
      <c r="E4" s="69"/>
    </row>
    <row r="5" spans="1:5" ht="7.5" customHeight="1" x14ac:dyDescent="0.25">
      <c r="A5" s="70"/>
      <c r="B5" s="70"/>
      <c r="C5" s="70"/>
      <c r="D5" s="70"/>
      <c r="E5" s="70"/>
    </row>
    <row r="6" spans="1:5" ht="49.5" customHeight="1" x14ac:dyDescent="0.25">
      <c r="A6" s="71" t="s">
        <v>256</v>
      </c>
      <c r="B6" s="17" t="s">
        <v>257</v>
      </c>
      <c r="C6" s="17" t="s">
        <v>258</v>
      </c>
      <c r="D6" s="17" t="s">
        <v>259</v>
      </c>
      <c r="E6" s="17" t="s">
        <v>260</v>
      </c>
    </row>
    <row r="7" spans="1:5" ht="49.5" customHeight="1" x14ac:dyDescent="0.25">
      <c r="A7" s="72" t="s">
        <v>261</v>
      </c>
      <c r="B7" s="24" t="s">
        <v>262</v>
      </c>
      <c r="C7" s="24" t="s">
        <v>263</v>
      </c>
      <c r="D7" s="24" t="s">
        <v>264</v>
      </c>
      <c r="E7" s="24" t="s">
        <v>265</v>
      </c>
    </row>
    <row r="8" spans="1:5" ht="49.5" customHeight="1" x14ac:dyDescent="0.25">
      <c r="A8" s="73" t="s">
        <v>266</v>
      </c>
      <c r="B8" s="46" t="s">
        <v>267</v>
      </c>
      <c r="C8" s="46" t="s">
        <v>268</v>
      </c>
      <c r="D8" s="46" t="s">
        <v>269</v>
      </c>
      <c r="E8" s="46" t="s">
        <v>270</v>
      </c>
    </row>
    <row r="9" spans="1:5" ht="7.5" customHeight="1" x14ac:dyDescent="0.25">
      <c r="A9" s="70"/>
      <c r="B9" s="70"/>
      <c r="C9" s="70"/>
      <c r="D9" s="70"/>
      <c r="E9" s="70"/>
    </row>
    <row r="10" spans="1:5" ht="49.5" customHeight="1" x14ac:dyDescent="0.25">
      <c r="A10" s="74" t="s">
        <v>271</v>
      </c>
      <c r="B10" s="32" t="s">
        <v>272</v>
      </c>
      <c r="C10" s="32" t="s">
        <v>273</v>
      </c>
      <c r="D10" s="32" t="s">
        <v>274</v>
      </c>
      <c r="E10" s="32" t="s">
        <v>275</v>
      </c>
    </row>
    <row r="11" spans="1:5" ht="49.5" customHeight="1" x14ac:dyDescent="0.25">
      <c r="A11" s="74" t="s">
        <v>276</v>
      </c>
      <c r="B11" s="32" t="s">
        <v>277</v>
      </c>
      <c r="C11" s="32" t="s">
        <v>278</v>
      </c>
      <c r="D11" s="32" t="s">
        <v>279</v>
      </c>
      <c r="E11" s="32" t="s">
        <v>280</v>
      </c>
    </row>
    <row r="12" spans="1:5" ht="49.5" customHeight="1" x14ac:dyDescent="0.25">
      <c r="A12" s="74" t="s">
        <v>281</v>
      </c>
      <c r="B12" s="32" t="s">
        <v>282</v>
      </c>
      <c r="C12" s="32" t="s">
        <v>283</v>
      </c>
      <c r="D12" s="32" t="s">
        <v>284</v>
      </c>
      <c r="E12" s="32" t="s">
        <v>285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Watchlist</vt:lpstr>
      <vt:lpstr>IBKR Setup</vt:lpstr>
      <vt:lpstr>Catalysts</vt:lpstr>
      <vt:lpstr>Trade Log</vt:lpstr>
      <vt:lpstr>Thesis &amp; Exit 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Cadbury</cp:lastModifiedBy>
  <cp:revision>0</cp:revision>
  <dcterms:created xsi:type="dcterms:W3CDTF">2026-03-24T06:10:09Z</dcterms:created>
  <dcterms:modified xsi:type="dcterms:W3CDTF">2026-03-24T10:11:38Z</dcterms:modified>
  <dc:language>en-US</dc:language>
</cp:coreProperties>
</file>