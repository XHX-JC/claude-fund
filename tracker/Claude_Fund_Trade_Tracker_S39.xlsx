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mes Cadbury\Dropbox\Claude-Fund\tracker\"/>
    </mc:Choice>
  </mc:AlternateContent>
  <xr:revisionPtr revIDLastSave="0" documentId="13_ncr:1_{5887659A-23E2-41CF-8D80-DE930E8C5C8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rad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</calcChain>
</file>

<file path=xl/sharedStrings.xml><?xml version="1.0" encoding="utf-8"?>
<sst xmlns="http://schemas.openxmlformats.org/spreadsheetml/2006/main" count="473" uniqueCount="216">
  <si>
    <t>CLAUDE FUND — TRADE TRACKER  |  Account: U24936508  |  Updated: 2026-05-09 (S39 Pre-Open)</t>
  </si>
  <si>
    <t>#</t>
  </si>
  <si>
    <t>Date In</t>
  </si>
  <si>
    <t>Date Out</t>
  </si>
  <si>
    <t>Ticker</t>
  </si>
  <si>
    <t>Company</t>
  </si>
  <si>
    <t>Qty</t>
  </si>
  <si>
    <t>Entry</t>
  </si>
  <si>
    <t>Exit</t>
  </si>
  <si>
    <t>CCY</t>
  </si>
  <si>
    <t>P&amp;L (USD)</t>
  </si>
  <si>
    <t>Status</t>
  </si>
  <si>
    <t>Entry Thesis</t>
  </si>
  <si>
    <t>◀  CLOSED TRADES (37)  —  T1 through T38  ▶</t>
  </si>
  <si>
    <t>2026-03-24</t>
  </si>
  <si>
    <t>2026-03-26</t>
  </si>
  <si>
    <t>CCL</t>
  </si>
  <si>
    <t>Carnival Corp</t>
  </si>
  <si>
    <t>USD</t>
  </si>
  <si>
    <t>CLOSED</t>
  </si>
  <si>
    <t>Hormuz oil shock tactical long</t>
  </si>
  <si>
    <t>2026-03-30</t>
  </si>
  <si>
    <t>ONDS</t>
  </si>
  <si>
    <t>Ondas Inc</t>
  </si>
  <si>
    <t>Drone delivery autonomous systems</t>
  </si>
  <si>
    <t>KTOS</t>
  </si>
  <si>
    <t>Kratos Defense</t>
  </si>
  <si>
    <t>Defence drone/autonomous systems — P12 sizing error</t>
  </si>
  <si>
    <t>2026-03-25</t>
  </si>
  <si>
    <t>2026-03-31</t>
  </si>
  <si>
    <t>UEC</t>
  </si>
  <si>
    <t>Uranium Energy Corp</t>
  </si>
  <si>
    <t>US domestic uranium enrichment thesis</t>
  </si>
  <si>
    <t>2026-03-27</t>
  </si>
  <si>
    <t>2026-04-01</t>
  </si>
  <si>
    <t>IAG</t>
  </si>
  <si>
    <t>Intl Airlines Group</t>
  </si>
  <si>
    <t>GBP</t>
  </si>
  <si>
    <t>Mean reversion post oil shock, peace dividend</t>
  </si>
  <si>
    <t>2026-04-02</t>
  </si>
  <si>
    <t>RCL</t>
  </si>
  <si>
    <t>Royal Caribbean</t>
  </si>
  <si>
    <t>Cruise recovery — stopped out</t>
  </si>
  <si>
    <t>2026-04-07</t>
  </si>
  <si>
    <t>LEU</t>
  </si>
  <si>
    <t>Centrus Energy</t>
  </si>
  <si>
    <t>HALEU monopoly, DOE backed enrichment</t>
  </si>
  <si>
    <t>LDO</t>
  </si>
  <si>
    <t>Leonardo SpA (T1)</t>
  </si>
  <si>
    <t>EUR</t>
  </si>
  <si>
    <t>EU rearmament, aerospace/helicopters (partial T1)</t>
  </si>
  <si>
    <t>2026-04-08</t>
  </si>
  <si>
    <t>UPS</t>
  </si>
  <si>
    <t>United Parcel Service</t>
  </si>
  <si>
    <t>Logistics mean reversion — same day exit</t>
  </si>
  <si>
    <t>R3NK</t>
  </si>
  <si>
    <t>RENK Group AG (T1)</t>
  </si>
  <si>
    <t>EU armour/defence transmissions — NATO rearmament</t>
  </si>
  <si>
    <t>2026-04-09</t>
  </si>
  <si>
    <t>PLTR</t>
  </si>
  <si>
    <t>Palantir Technologies</t>
  </si>
  <si>
    <t>AI analytics/defence data — P6 no catalyst error</t>
  </si>
  <si>
    <t>2026-04-10</t>
  </si>
  <si>
    <t>SHLD</t>
  </si>
  <si>
    <t>Shield AI Inc</t>
  </si>
  <si>
    <t>AI defence autonomy — tactical round trip</t>
  </si>
  <si>
    <t>2026-04-14</t>
  </si>
  <si>
    <t>PDYN</t>
  </si>
  <si>
    <t>Palladyne AI (partial)</t>
  </si>
  <si>
    <t>AI autonomous systems — partial exit</t>
  </si>
  <si>
    <t>2026-04-15</t>
  </si>
  <si>
    <t>AVAV</t>
  </si>
  <si>
    <t>AeroVironment</t>
  </si>
  <si>
    <t>Loitering munitions/Switchblade — SCAR thesis broken</t>
  </si>
  <si>
    <t>2026-04-17</t>
  </si>
  <si>
    <t>ITM</t>
  </si>
  <si>
    <t>ITM Power (Trim 1)</t>
  </si>
  <si>
    <t>PEM green hydrogen electrolysis — trim 1 of 3</t>
  </si>
  <si>
    <t>LNG</t>
  </si>
  <si>
    <t>Cheniere Energy</t>
  </si>
  <si>
    <t>LNG infrastructure — Qatar thesis structurally impaired</t>
  </si>
  <si>
    <t>PATK</t>
  </si>
  <si>
    <t>Patrick Industries</t>
  </si>
  <si>
    <t>M&amp;A tip entry — P17 error, no full thesis analysis</t>
  </si>
  <si>
    <t>2026-04-06</t>
  </si>
  <si>
    <t>2026-04-21</t>
  </si>
  <si>
    <t>ABVX</t>
  </si>
  <si>
    <t>Abivax SA-ADR (T1)</t>
  </si>
  <si>
    <t>M&amp;A optionality/royalty buyback — stopped pre-Phase 3</t>
  </si>
  <si>
    <t>2026-04-22</t>
  </si>
  <si>
    <t>RR</t>
  </si>
  <si>
    <t>Rolls-Royce (150sh orig)</t>
  </si>
  <si>
    <t>SMR/naval nuclear/civil aero — stopped, re-entered 100sh</t>
  </si>
  <si>
    <t>2026-04-24</t>
  </si>
  <si>
    <t>ITM Power (Trim 2)</t>
  </si>
  <si>
    <t>PEM green hydrogen — trim 2, position riding for free</t>
  </si>
  <si>
    <t>2026-04-16</t>
  </si>
  <si>
    <t>2026-04-25</t>
  </si>
  <si>
    <t>LLY</t>
  </si>
  <si>
    <t>Eli Lilly</t>
  </si>
  <si>
    <t>GLP-1 obesity drug thesis — stop staleness T28 lesson</t>
  </si>
  <si>
    <t>2026-04-27</t>
  </si>
  <si>
    <t>CODA</t>
  </si>
  <si>
    <t>Coda Octopus (first)</t>
  </si>
  <si>
    <t>Mine countermeasures sonar — stopped, P11 re-entry</t>
  </si>
  <si>
    <t>ISRG</t>
  </si>
  <si>
    <t>Intuitive Surgical</t>
  </si>
  <si>
    <t>Robotic surgery structural growth — stop triggered</t>
  </si>
  <si>
    <t>2026-04-28</t>
  </si>
  <si>
    <t>ITM Power (Trim 3)</t>
  </si>
  <si>
    <t>PEM green hydrogen — final trim, AIM wick exit</t>
  </si>
  <si>
    <t>2026-04-29</t>
  </si>
  <si>
    <t>ABBV</t>
  </si>
  <si>
    <t>AbbVie Inc</t>
  </si>
  <si>
    <t>Immunology/Skyrizi post-Humira recovery — stop BMO</t>
  </si>
  <si>
    <t>Palladyne AI (remain)</t>
  </si>
  <si>
    <t>AI autonomous systems — manual exit</t>
  </si>
  <si>
    <t>CCJ</t>
  </si>
  <si>
    <t>Cameco (orig 49sh)</t>
  </si>
  <si>
    <t>Uranium nuclear supercycle — T23 deliberate exit, re-entered 50sh</t>
  </si>
  <si>
    <t>VST</t>
  </si>
  <si>
    <t>Vistra Corp</t>
  </si>
  <si>
    <t>AI power/nuclear data centres — GTC stop triggered</t>
  </si>
  <si>
    <t>2026-04-30</t>
  </si>
  <si>
    <t>Palladyne AI (cover)</t>
  </si>
  <si>
    <t>E9 GTC orphan correction — forced cover</t>
  </si>
  <si>
    <t>MSFT</t>
  </si>
  <si>
    <t>Microsoft Corp (T1)</t>
  </si>
  <si>
    <t>Azure/AI/Copilot — stop triggered, re-entered same day</t>
  </si>
  <si>
    <t>2026-05-01</t>
  </si>
  <si>
    <t>NOG</t>
  </si>
  <si>
    <t>Northern Oil &amp; Gas (T1)</t>
  </si>
  <si>
    <t>Hormuz war premium oil thesis — stop triggered</t>
  </si>
  <si>
    <t>2026-05-05</t>
  </si>
  <si>
    <t>V</t>
  </si>
  <si>
    <t>Visa Inc</t>
  </si>
  <si>
    <t>Payments nominal value tailwind from oil war</t>
  </si>
  <si>
    <t>2026-05-04</t>
  </si>
  <si>
    <t>2026-05-07</t>
  </si>
  <si>
    <t>Northern Oil &amp; Gas (T2)</t>
  </si>
  <si>
    <t>Hormuz re-entry — Iran deal noise, T3/T17 exit</t>
  </si>
  <si>
    <t>RENK Group AG (T2)</t>
  </si>
  <si>
    <t>NATO rearmament — Iran deal noise T30 rebuy placed</t>
  </si>
  <si>
    <t>AMPX</t>
  </si>
  <si>
    <t>Amprius Technologies</t>
  </si>
  <si>
    <t>Silicon anode solid-state battery — gapped through stop</t>
  </si>
  <si>
    <t>MRVL</t>
  </si>
  <si>
    <t>Marvell Technology</t>
  </si>
  <si>
    <t>AI semiconductor chips — POET controversy stop</t>
  </si>
  <si>
    <t>CEG</t>
  </si>
  <si>
    <t>Constellation Energy</t>
  </si>
  <si>
    <t>Nuclear/data centre thesis — stop raised then triggered</t>
  </si>
  <si>
    <t>◀  OPEN POSITIONS (19)  —  Active as of S39 Pre-Open (2026-05-09)  ▶</t>
  </si>
  <si>
    <t>OPEN</t>
  </si>
  <si>
    <t>RENK Group AG (T35)</t>
  </si>
  <si>
    <t>—</t>
  </si>
  <si>
    <t>NATO rearmament T30 rebuy — better cost basis than T2</t>
  </si>
  <si>
    <t>2026-05-08</t>
  </si>
  <si>
    <t>PYPL</t>
  </si>
  <si>
    <t>PayPal Holdings</t>
  </si>
  <si>
    <t>Fintech turnaround — Fwd P/E 8.7x, 41% below ATH</t>
  </si>
  <si>
    <t>CRML</t>
  </si>
  <si>
    <t>Critical Metals Corp</t>
  </si>
  <si>
    <t>Critical minerals/REE — China diversification thesis</t>
  </si>
  <si>
    <t>AMZN</t>
  </si>
  <si>
    <t>Amazon.com</t>
  </si>
  <si>
    <t>AWS cloud/AI capex thesis</t>
  </si>
  <si>
    <t>Abivax SA-ADR</t>
  </si>
  <si>
    <t>M&amp;A optionality — royalty buyback, maximum room</t>
  </si>
  <si>
    <t>Rolls-Royce Holdings</t>
  </si>
  <si>
    <t>SMR/naval nuclear/civil aero — H1 gate Jul 30</t>
  </si>
  <si>
    <t>UUUU</t>
  </si>
  <si>
    <t>Energy Fuels Inc</t>
  </si>
  <si>
    <t>Only US REE separator — Q1 beat, ASM Jul 2026</t>
  </si>
  <si>
    <t>Coda Octopus (re-entry)</t>
  </si>
  <si>
    <t>Mine countermeasures sonar — P14 catalyst timing</t>
  </si>
  <si>
    <t>Cameco Corp</t>
  </si>
  <si>
    <t>Uranium nuclear supercycle — raise stop &gt;$127</t>
  </si>
  <si>
    <t>Microsoft Corp</t>
  </si>
  <si>
    <t>Azure/AI/Copilot re-entry — TCI overhang, stop $403.89</t>
  </si>
  <si>
    <t>SNPS</t>
  </si>
  <si>
    <t>Synopsys Inc</t>
  </si>
  <si>
    <t>EDA software, AI chip design — T23 earnings May 27</t>
  </si>
  <si>
    <t>MSTR</t>
  </si>
  <si>
    <t>Strategy Inc</t>
  </si>
  <si>
    <t>BTC proxy mNAV thesis — scale gate $85K BTC</t>
  </si>
  <si>
    <t>BAH</t>
  </si>
  <si>
    <t>Booz Allen Hamilton</t>
  </si>
  <si>
    <t>Govt IT/defence consulting — Q4 gate May 22</t>
  </si>
  <si>
    <t>CGCT</t>
  </si>
  <si>
    <t>Cartesian Growth III</t>
  </si>
  <si>
    <t>SPAC trust floor — FAC listing ~May 2026</t>
  </si>
  <si>
    <t>IBM</t>
  </si>
  <si>
    <t>IBM Corp</t>
  </si>
  <si>
    <t>Contrarian AI infrastructure — post-Q1 entry</t>
  </si>
  <si>
    <t>LMT</t>
  </si>
  <si>
    <t>Lockheed Martin</t>
  </si>
  <si>
    <t>PAC-3/THAAD — active Middle East theatre</t>
  </si>
  <si>
    <t>Leonardo SpA</t>
  </si>
  <si>
    <t>EU rearmament aerospace/helicopters/naval</t>
  </si>
  <si>
    <t>IES</t>
  </si>
  <si>
    <t>Invinity Energy Systems</t>
  </si>
  <si>
    <t>Long-duration energy storage — LDES policy catalyst</t>
  </si>
  <si>
    <t>AeroVironment Inc</t>
  </si>
  <si>
    <t>Loitering munitions/Switchblade — LASSO win, Q4 Jun 30</t>
  </si>
  <si>
    <t>Total Closed Trades:</t>
  </si>
  <si>
    <t>Total Open Positions:</t>
  </si>
  <si>
    <t>Gross Realized P&amp;L (USD):</t>
  </si>
  <si>
    <t>Net Liquidity (IBKR):</t>
  </si>
  <si>
    <t>~$104,600</t>
  </si>
  <si>
    <t>Unrealized P&amp;L (IBKR):</t>
  </si>
  <si>
    <t>+$4,100</t>
  </si>
  <si>
    <t>Last Updated:</t>
  </si>
  <si>
    <t>2026-05-09  S39 Pre-Open</t>
  </si>
  <si>
    <t>FX Note:</t>
  </si>
  <si>
    <t>GBP P&amp;L @~1.265 USD/GBP  |  EUR P&amp;L @~1.09 USD/EUR  |  USD is approx for non-USD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</si>
</sst>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;\(#,##0.00\);&quot;-&quot;"/>
    <numFmt numFmtId="166" formatCode="#,##0.00;\(#,##0.00\)"/>
  </numFmts>
  <fonts count="17" x14ac:knownFonts="1">
    <font>
      <sz val="11"/>
      <color theme="1"/>
      <name val="Calibri"/>
      <family val="2"/>
      <scheme val="minor"/>
    </font>
    <font>
      <b/>
      <sz val="11"/>
      <color rgb="FFE8EDF2"/>
      <name val="Arial"/>
    </font>
    <font>
      <b/>
      <sz val="10"/>
      <color rgb="FFFFFFFF"/>
      <name val="Arial"/>
    </font>
    <font>
      <b/>
      <sz val="9"/>
      <color rgb="FFA8C4D8"/>
      <name val="Arial"/>
    </font>
    <font>
      <sz val="9"/>
      <color rgb="FF8899AA"/>
      <name val="Arial"/>
    </font>
    <font>
      <sz val="9"/>
      <color rgb="FFA0B4C4"/>
      <name val="Arial"/>
    </font>
    <font>
      <b/>
      <sz val="9"/>
      <color rgb="FFE8EDF2"/>
      <name val="Arial"/>
    </font>
    <font>
      <sz val="9"/>
      <color rgb="FFC8D8E4"/>
      <name val="Arial"/>
    </font>
    <font>
      <b/>
      <sz val="9"/>
      <color rgb="FF3ECF8E"/>
      <name val="Arial"/>
    </font>
    <font>
      <sz val="9"/>
      <color rgb="FF3ECF8E"/>
      <name val="Arial"/>
    </font>
    <font>
      <b/>
      <sz val="9"/>
      <color rgb="FFE05252"/>
      <name val="Arial"/>
    </font>
    <font>
      <sz val="9"/>
      <color rgb="FFE05252"/>
      <name val="Arial"/>
    </font>
    <font>
      <b/>
      <sz val="9"/>
      <color rgb="FFFFD080"/>
      <name val="Arial"/>
    </font>
    <font>
      <b/>
      <sz val="9"/>
      <color rgb="FFF0F4F8"/>
      <name val="Arial"/>
    </font>
    <font>
      <sz val="9"/>
      <color rgb="FF555E6A"/>
      <name val="Arial"/>
    </font>
    <font>
      <b/>
      <sz val="9"/>
      <color rgb="FF8899AA"/>
      <name val="Arial"/>
    </font>
    <font>
      <sz val="9"/>
      <color rgb="FFE8EDF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2C3E50"/>
      </patternFill>
    </fill>
    <fill>
      <patternFill patternType="solid">
        <fgColor rgb="FF1525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2A3A4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0" fillId="0" borderId="0" xfId="0"/>
    <xf numFmtId="0" fontId="15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AA5"/>
  </sheetPr>
  <dimension ref="A1:L69"/>
  <sheetViews>
    <sheetView tabSelected="1" workbookViewId="0">
      <pane ySplit="2" topLeftCell="A3" activePane="bottomLeft" state="frozen"/>
      <selection pane="bottomLeft" activeCell="S20" sqref="S20"/>
    </sheetView>
  </sheetViews>
  <sheetFormatPr defaultRowHeight="15" x14ac:dyDescent="0.25"/>
  <cols>
    <col min="1" max="1" width="3" bestFit="1" customWidth="1"/>
    <col min="2" max="3" width="10.140625" bestFit="1" customWidth="1"/>
    <col min="4" max="4" width="6.5703125" bestFit="1" customWidth="1"/>
    <col min="5" max="5" width="20.85546875" bestFit="1" customWidth="1"/>
    <col min="6" max="6" width="5" bestFit="1" customWidth="1"/>
    <col min="7" max="8" width="8.85546875" bestFit="1" customWidth="1"/>
    <col min="9" max="9" width="4.7109375" bestFit="1" customWidth="1"/>
    <col min="10" max="10" width="10.28515625" bestFit="1" customWidth="1"/>
    <col min="11" max="11" width="8.140625" bestFit="1" customWidth="1"/>
    <col min="12" max="12" width="54.85546875" bestFit="1" customWidth="1"/>
  </cols>
  <sheetData>
    <row r="1" spans="1:12" ht="27.95" customHeight="1" x14ac:dyDescent="0.25">
      <c r="A1" s="2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4.1" customHeight="1" x14ac:dyDescent="0.25">
      <c r="A3" s="19" t="s">
        <v>13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12.95" customHeight="1" x14ac:dyDescent="0.25">
      <c r="A4" s="2">
        <v>1</v>
      </c>
      <c r="B4" s="3" t="s">
        <v>14</v>
      </c>
      <c r="C4" s="3" t="s">
        <v>15</v>
      </c>
      <c r="D4" s="4" t="s">
        <v>16</v>
      </c>
      <c r="E4" s="5" t="s">
        <v>17</v>
      </c>
      <c r="F4" s="6">
        <v>240</v>
      </c>
      <c r="G4" s="7">
        <v>24.83</v>
      </c>
      <c r="H4" s="7">
        <v>25.35</v>
      </c>
      <c r="I4" s="2" t="s">
        <v>18</v>
      </c>
      <c r="J4" s="8">
        <v>122.35</v>
      </c>
      <c r="K4" s="9" t="s">
        <v>19</v>
      </c>
      <c r="L4" s="10" t="s">
        <v>20</v>
      </c>
    </row>
    <row r="5" spans="1:12" ht="12.95" customHeight="1" x14ac:dyDescent="0.25">
      <c r="A5" s="2">
        <v>2</v>
      </c>
      <c r="B5" s="3" t="s">
        <v>14</v>
      </c>
      <c r="C5" s="3" t="s">
        <v>21</v>
      </c>
      <c r="D5" s="4" t="s">
        <v>22</v>
      </c>
      <c r="E5" s="5" t="s">
        <v>23</v>
      </c>
      <c r="F5" s="6">
        <v>250</v>
      </c>
      <c r="G5" s="7">
        <v>10.9</v>
      </c>
      <c r="H5" s="7">
        <v>8.5050000000000008</v>
      </c>
      <c r="I5" s="2" t="s">
        <v>18</v>
      </c>
      <c r="J5" s="11">
        <v>-601.29999999999995</v>
      </c>
      <c r="K5" s="12" t="s">
        <v>19</v>
      </c>
      <c r="L5" s="10" t="s">
        <v>24</v>
      </c>
    </row>
    <row r="6" spans="1:12" ht="12.95" customHeight="1" x14ac:dyDescent="0.25">
      <c r="A6" s="2">
        <v>3</v>
      </c>
      <c r="B6" s="3" t="s">
        <v>14</v>
      </c>
      <c r="C6" s="3" t="s">
        <v>21</v>
      </c>
      <c r="D6" s="4" t="s">
        <v>25</v>
      </c>
      <c r="E6" s="5" t="s">
        <v>26</v>
      </c>
      <c r="F6" s="6">
        <v>100</v>
      </c>
      <c r="G6" s="7">
        <v>81</v>
      </c>
      <c r="H6" s="7">
        <v>64.977000000000004</v>
      </c>
      <c r="I6" s="2" t="s">
        <v>18</v>
      </c>
      <c r="J6" s="11">
        <v>-1604.27</v>
      </c>
      <c r="K6" s="12" t="s">
        <v>19</v>
      </c>
      <c r="L6" s="10" t="s">
        <v>27</v>
      </c>
    </row>
    <row r="7" spans="1:12" ht="12.95" customHeight="1" x14ac:dyDescent="0.25">
      <c r="A7" s="2">
        <v>4</v>
      </c>
      <c r="B7" s="3" t="s">
        <v>28</v>
      </c>
      <c r="C7" s="3" t="s">
        <v>29</v>
      </c>
      <c r="D7" s="4" t="s">
        <v>30</v>
      </c>
      <c r="E7" s="5" t="s">
        <v>31</v>
      </c>
      <c r="F7" s="6">
        <v>206</v>
      </c>
      <c r="G7" s="7">
        <v>13.77</v>
      </c>
      <c r="H7" s="7">
        <v>13.16</v>
      </c>
      <c r="I7" s="2" t="s">
        <v>18</v>
      </c>
      <c r="J7" s="11">
        <v>-127.76</v>
      </c>
      <c r="K7" s="12" t="s">
        <v>19</v>
      </c>
      <c r="L7" s="10" t="s">
        <v>32</v>
      </c>
    </row>
    <row r="8" spans="1:12" ht="12.95" customHeight="1" x14ac:dyDescent="0.25">
      <c r="A8" s="2">
        <v>5</v>
      </c>
      <c r="B8" s="3" t="s">
        <v>33</v>
      </c>
      <c r="C8" s="3" t="s">
        <v>34</v>
      </c>
      <c r="D8" s="4" t="s">
        <v>35</v>
      </c>
      <c r="E8" s="5" t="s">
        <v>36</v>
      </c>
      <c r="F8" s="6">
        <v>2200</v>
      </c>
      <c r="G8" s="7">
        <v>3.55</v>
      </c>
      <c r="H8" s="7">
        <v>3.7</v>
      </c>
      <c r="I8" s="2" t="s">
        <v>37</v>
      </c>
      <c r="J8" s="8">
        <v>407.36</v>
      </c>
      <c r="K8" s="9" t="s">
        <v>19</v>
      </c>
      <c r="L8" s="10" t="s">
        <v>38</v>
      </c>
    </row>
    <row r="9" spans="1:12" ht="12.95" customHeight="1" x14ac:dyDescent="0.25">
      <c r="A9" s="2">
        <v>6</v>
      </c>
      <c r="B9" s="3" t="s">
        <v>14</v>
      </c>
      <c r="C9" s="3" t="s">
        <v>39</v>
      </c>
      <c r="D9" s="4" t="s">
        <v>40</v>
      </c>
      <c r="E9" s="5" t="s">
        <v>41</v>
      </c>
      <c r="F9" s="6">
        <v>36</v>
      </c>
      <c r="G9" s="7">
        <v>273.54000000000002</v>
      </c>
      <c r="H9" s="7">
        <v>269.91000000000003</v>
      </c>
      <c r="I9" s="2" t="s">
        <v>18</v>
      </c>
      <c r="J9" s="11">
        <v>-132.88999999999999</v>
      </c>
      <c r="K9" s="12" t="s">
        <v>19</v>
      </c>
      <c r="L9" s="10" t="s">
        <v>42</v>
      </c>
    </row>
    <row r="10" spans="1:12" ht="12.95" customHeight="1" x14ac:dyDescent="0.25">
      <c r="A10" s="2">
        <v>7</v>
      </c>
      <c r="B10" s="3" t="s">
        <v>14</v>
      </c>
      <c r="C10" s="3" t="s">
        <v>43</v>
      </c>
      <c r="D10" s="4" t="s">
        <v>44</v>
      </c>
      <c r="E10" s="5" t="s">
        <v>45</v>
      </c>
      <c r="F10" s="6">
        <v>13</v>
      </c>
      <c r="G10" s="7">
        <v>188.79</v>
      </c>
      <c r="H10" s="7">
        <v>170.26</v>
      </c>
      <c r="I10" s="2" t="s">
        <v>18</v>
      </c>
      <c r="J10" s="11">
        <v>-242.94</v>
      </c>
      <c r="K10" s="12" t="s">
        <v>19</v>
      </c>
      <c r="L10" s="10" t="s">
        <v>46</v>
      </c>
    </row>
    <row r="11" spans="1:12" ht="12.95" customHeight="1" x14ac:dyDescent="0.25">
      <c r="A11" s="2">
        <v>8</v>
      </c>
      <c r="B11" s="3" t="s">
        <v>33</v>
      </c>
      <c r="C11" s="3" t="s">
        <v>43</v>
      </c>
      <c r="D11" s="4" t="s">
        <v>47</v>
      </c>
      <c r="E11" s="5" t="s">
        <v>48</v>
      </c>
      <c r="F11" s="6">
        <v>17</v>
      </c>
      <c r="G11" s="7">
        <v>58.1</v>
      </c>
      <c r="H11" s="7">
        <v>59.56</v>
      </c>
      <c r="I11" s="2" t="s">
        <v>49</v>
      </c>
      <c r="J11" s="8">
        <v>20.51</v>
      </c>
      <c r="K11" s="9" t="s">
        <v>19</v>
      </c>
      <c r="L11" s="10" t="s">
        <v>50</v>
      </c>
    </row>
    <row r="12" spans="1:12" ht="12.95" customHeight="1" x14ac:dyDescent="0.25">
      <c r="A12" s="2">
        <v>9</v>
      </c>
      <c r="B12" s="3" t="s">
        <v>51</v>
      </c>
      <c r="C12" s="3" t="s">
        <v>51</v>
      </c>
      <c r="D12" s="4" t="s">
        <v>52</v>
      </c>
      <c r="E12" s="5" t="s">
        <v>53</v>
      </c>
      <c r="F12" s="6">
        <v>50</v>
      </c>
      <c r="G12" s="7">
        <v>100.17</v>
      </c>
      <c r="H12" s="7">
        <v>99.6</v>
      </c>
      <c r="I12" s="2" t="s">
        <v>18</v>
      </c>
      <c r="J12" s="11">
        <v>-30.61</v>
      </c>
      <c r="K12" s="12" t="s">
        <v>19</v>
      </c>
      <c r="L12" s="10" t="s">
        <v>54</v>
      </c>
    </row>
    <row r="13" spans="1:12" ht="12.95" customHeight="1" x14ac:dyDescent="0.25">
      <c r="A13" s="2">
        <v>10</v>
      </c>
      <c r="B13" s="3" t="s">
        <v>15</v>
      </c>
      <c r="C13" s="3" t="s">
        <v>51</v>
      </c>
      <c r="D13" s="4" t="s">
        <v>55</v>
      </c>
      <c r="E13" s="5" t="s">
        <v>56</v>
      </c>
      <c r="F13" s="6">
        <v>80</v>
      </c>
      <c r="G13" s="7">
        <v>51.51</v>
      </c>
      <c r="H13" s="7">
        <v>56.01</v>
      </c>
      <c r="I13" s="2" t="s">
        <v>49</v>
      </c>
      <c r="J13" s="8">
        <v>385.86</v>
      </c>
      <c r="K13" s="9" t="s">
        <v>19</v>
      </c>
      <c r="L13" s="10" t="s">
        <v>57</v>
      </c>
    </row>
    <row r="14" spans="1:12" ht="12.95" customHeight="1" x14ac:dyDescent="0.25">
      <c r="A14" s="2">
        <v>11</v>
      </c>
      <c r="B14" s="3" t="s">
        <v>14</v>
      </c>
      <c r="C14" s="3" t="s">
        <v>58</v>
      </c>
      <c r="D14" s="4" t="s">
        <v>59</v>
      </c>
      <c r="E14" s="5" t="s">
        <v>60</v>
      </c>
      <c r="F14" s="6">
        <v>49</v>
      </c>
      <c r="G14" s="7">
        <v>161.608</v>
      </c>
      <c r="H14" s="7">
        <v>134.976</v>
      </c>
      <c r="I14" s="2" t="s">
        <v>18</v>
      </c>
      <c r="J14" s="11">
        <v>-1307.1099999999999</v>
      </c>
      <c r="K14" s="12" t="s">
        <v>19</v>
      </c>
      <c r="L14" s="10" t="s">
        <v>61</v>
      </c>
    </row>
    <row r="15" spans="1:12" ht="12.95" customHeight="1" x14ac:dyDescent="0.25">
      <c r="A15" s="2">
        <v>12</v>
      </c>
      <c r="B15" s="3" t="s">
        <v>14</v>
      </c>
      <c r="C15" s="3" t="s">
        <v>62</v>
      </c>
      <c r="D15" s="4" t="s">
        <v>63</v>
      </c>
      <c r="E15" s="5" t="s">
        <v>64</v>
      </c>
      <c r="F15" s="6">
        <v>69</v>
      </c>
      <c r="G15" s="7">
        <v>72.010000000000005</v>
      </c>
      <c r="H15" s="7">
        <v>73.209999999999994</v>
      </c>
      <c r="I15" s="2" t="s">
        <v>18</v>
      </c>
      <c r="J15" s="8">
        <v>112.65</v>
      </c>
      <c r="K15" s="9" t="s">
        <v>19</v>
      </c>
      <c r="L15" s="10" t="s">
        <v>65</v>
      </c>
    </row>
    <row r="16" spans="1:12" ht="12.95" customHeight="1" x14ac:dyDescent="0.25">
      <c r="A16" s="2">
        <v>13</v>
      </c>
      <c r="B16" s="3" t="s">
        <v>28</v>
      </c>
      <c r="C16" s="3" t="s">
        <v>66</v>
      </c>
      <c r="D16" s="4" t="s">
        <v>67</v>
      </c>
      <c r="E16" s="5" t="s">
        <v>68</v>
      </c>
      <c r="F16" s="6">
        <v>250</v>
      </c>
      <c r="G16" s="7">
        <v>6.59</v>
      </c>
      <c r="H16" s="7">
        <v>6.67</v>
      </c>
      <c r="I16" s="2" t="s">
        <v>18</v>
      </c>
      <c r="J16" s="8">
        <v>17.420000000000002</v>
      </c>
      <c r="K16" s="9" t="s">
        <v>19</v>
      </c>
      <c r="L16" s="10" t="s">
        <v>69</v>
      </c>
    </row>
    <row r="17" spans="1:12" ht="12.95" customHeight="1" x14ac:dyDescent="0.25">
      <c r="A17" s="2">
        <v>14</v>
      </c>
      <c r="B17" s="3" t="s">
        <v>15</v>
      </c>
      <c r="C17" s="3" t="s">
        <v>70</v>
      </c>
      <c r="D17" s="4" t="s">
        <v>71</v>
      </c>
      <c r="E17" s="5" t="s">
        <v>72</v>
      </c>
      <c r="F17" s="6">
        <v>25</v>
      </c>
      <c r="G17" s="7">
        <v>195.05</v>
      </c>
      <c r="H17" s="7">
        <v>197.94499999999999</v>
      </c>
      <c r="I17" s="2" t="s">
        <v>18</v>
      </c>
      <c r="J17" s="8">
        <v>70.27</v>
      </c>
      <c r="K17" s="9" t="s">
        <v>19</v>
      </c>
      <c r="L17" s="10" t="s">
        <v>73</v>
      </c>
    </row>
    <row r="18" spans="1:12" ht="12.95" customHeight="1" x14ac:dyDescent="0.25">
      <c r="A18" s="2">
        <v>15</v>
      </c>
      <c r="B18" s="3" t="s">
        <v>34</v>
      </c>
      <c r="C18" s="3" t="s">
        <v>74</v>
      </c>
      <c r="D18" s="4" t="s">
        <v>75</v>
      </c>
      <c r="E18" s="5" t="s">
        <v>76</v>
      </c>
      <c r="F18" s="6">
        <v>1100</v>
      </c>
      <c r="G18" s="7">
        <v>65.099999999999994</v>
      </c>
      <c r="H18" s="7">
        <v>124.6</v>
      </c>
      <c r="I18" s="2" t="s">
        <v>37</v>
      </c>
      <c r="J18" s="8">
        <v>828</v>
      </c>
      <c r="K18" s="9" t="s">
        <v>19</v>
      </c>
      <c r="L18" s="10" t="s">
        <v>77</v>
      </c>
    </row>
    <row r="19" spans="1:12" ht="12.95" customHeight="1" x14ac:dyDescent="0.25">
      <c r="A19" s="2">
        <v>16</v>
      </c>
      <c r="B19" s="3" t="s">
        <v>74</v>
      </c>
      <c r="C19" s="3" t="s">
        <v>74</v>
      </c>
      <c r="D19" s="4" t="s">
        <v>78</v>
      </c>
      <c r="E19" s="5" t="s">
        <v>79</v>
      </c>
      <c r="F19" s="6">
        <v>19</v>
      </c>
      <c r="G19" s="7">
        <v>268.81299999999999</v>
      </c>
      <c r="H19" s="7">
        <v>248</v>
      </c>
      <c r="I19" s="2" t="s">
        <v>18</v>
      </c>
      <c r="J19" s="11">
        <v>-396.54</v>
      </c>
      <c r="K19" s="12" t="s">
        <v>19</v>
      </c>
      <c r="L19" s="10" t="s">
        <v>80</v>
      </c>
    </row>
    <row r="20" spans="1:12" ht="12.95" customHeight="1" x14ac:dyDescent="0.25">
      <c r="A20" s="2">
        <v>17</v>
      </c>
      <c r="B20" s="3" t="s">
        <v>74</v>
      </c>
      <c r="C20" s="3" t="s">
        <v>74</v>
      </c>
      <c r="D20" s="4" t="s">
        <v>81</v>
      </c>
      <c r="E20" s="5" t="s">
        <v>82</v>
      </c>
      <c r="F20" s="6">
        <v>25</v>
      </c>
      <c r="G20" s="7">
        <v>108.8</v>
      </c>
      <c r="H20" s="7">
        <v>109.256</v>
      </c>
      <c r="I20" s="2" t="s">
        <v>18</v>
      </c>
      <c r="J20" s="8">
        <v>9.34</v>
      </c>
      <c r="K20" s="9" t="s">
        <v>19</v>
      </c>
      <c r="L20" s="10" t="s">
        <v>83</v>
      </c>
    </row>
    <row r="21" spans="1:12" ht="12.95" customHeight="1" x14ac:dyDescent="0.25">
      <c r="A21" s="2">
        <v>18</v>
      </c>
      <c r="B21" s="3" t="s">
        <v>84</v>
      </c>
      <c r="C21" s="3" t="s">
        <v>85</v>
      </c>
      <c r="D21" s="4" t="s">
        <v>86</v>
      </c>
      <c r="E21" s="5" t="s">
        <v>87</v>
      </c>
      <c r="F21" s="6">
        <v>44</v>
      </c>
      <c r="G21" s="7">
        <v>117.913</v>
      </c>
      <c r="H21" s="7">
        <v>114.26</v>
      </c>
      <c r="I21" s="2" t="s">
        <v>18</v>
      </c>
      <c r="J21" s="11">
        <v>-158.53</v>
      </c>
      <c r="K21" s="12" t="s">
        <v>19</v>
      </c>
      <c r="L21" s="10" t="s">
        <v>88</v>
      </c>
    </row>
    <row r="22" spans="1:12" ht="12.95" customHeight="1" x14ac:dyDescent="0.25">
      <c r="A22" s="2">
        <v>19</v>
      </c>
      <c r="B22" s="3" t="s">
        <v>15</v>
      </c>
      <c r="C22" s="3" t="s">
        <v>89</v>
      </c>
      <c r="D22" s="4" t="s">
        <v>90</v>
      </c>
      <c r="E22" s="5" t="s">
        <v>91</v>
      </c>
      <c r="F22" s="6">
        <v>150</v>
      </c>
      <c r="G22" s="7">
        <v>1182.8800000000001</v>
      </c>
      <c r="H22" s="7">
        <v>1150</v>
      </c>
      <c r="I22" s="2" t="s">
        <v>37</v>
      </c>
      <c r="J22" s="11">
        <v>-62.39</v>
      </c>
      <c r="K22" s="12" t="s">
        <v>19</v>
      </c>
      <c r="L22" s="10" t="s">
        <v>92</v>
      </c>
    </row>
    <row r="23" spans="1:12" ht="12.95" customHeight="1" x14ac:dyDescent="0.25">
      <c r="A23" s="2">
        <v>20</v>
      </c>
      <c r="B23" s="3" t="s">
        <v>34</v>
      </c>
      <c r="C23" s="3" t="s">
        <v>93</v>
      </c>
      <c r="D23" s="4" t="s">
        <v>75</v>
      </c>
      <c r="E23" s="5" t="s">
        <v>94</v>
      </c>
      <c r="F23" s="6">
        <v>800</v>
      </c>
      <c r="G23" s="7">
        <v>65.099999999999994</v>
      </c>
      <c r="H23" s="7">
        <v>141.19999999999999</v>
      </c>
      <c r="I23" s="2" t="s">
        <v>37</v>
      </c>
      <c r="J23" s="8">
        <v>770</v>
      </c>
      <c r="K23" s="9" t="s">
        <v>19</v>
      </c>
      <c r="L23" s="10" t="s">
        <v>95</v>
      </c>
    </row>
    <row r="24" spans="1:12" ht="12.95" customHeight="1" x14ac:dyDescent="0.25">
      <c r="A24" s="2">
        <v>21</v>
      </c>
      <c r="B24" s="3" t="s">
        <v>96</v>
      </c>
      <c r="C24" s="3" t="s">
        <v>97</v>
      </c>
      <c r="D24" s="4" t="s">
        <v>98</v>
      </c>
      <c r="E24" s="5" t="s">
        <v>99</v>
      </c>
      <c r="F24" s="6">
        <v>3</v>
      </c>
      <c r="G24" s="7">
        <v>905.34400000000005</v>
      </c>
      <c r="H24" s="7">
        <v>875.54</v>
      </c>
      <c r="I24" s="2" t="s">
        <v>18</v>
      </c>
      <c r="J24" s="11">
        <v>-89.41</v>
      </c>
      <c r="K24" s="12" t="s">
        <v>19</v>
      </c>
      <c r="L24" s="10" t="s">
        <v>100</v>
      </c>
    </row>
    <row r="25" spans="1:12" ht="12.95" customHeight="1" x14ac:dyDescent="0.25">
      <c r="A25" s="2">
        <v>22</v>
      </c>
      <c r="B25" s="3" t="s">
        <v>51</v>
      </c>
      <c r="C25" s="3" t="s">
        <v>101</v>
      </c>
      <c r="D25" s="4" t="s">
        <v>102</v>
      </c>
      <c r="E25" s="5" t="s">
        <v>103</v>
      </c>
      <c r="F25" s="6">
        <v>416</v>
      </c>
      <c r="G25" s="7">
        <v>12.005000000000001</v>
      </c>
      <c r="H25" s="7">
        <v>11.42</v>
      </c>
      <c r="I25" s="2" t="s">
        <v>18</v>
      </c>
      <c r="J25" s="11">
        <v>-243.36</v>
      </c>
      <c r="K25" s="12" t="s">
        <v>19</v>
      </c>
      <c r="L25" s="10" t="s">
        <v>104</v>
      </c>
    </row>
    <row r="26" spans="1:12" ht="12.95" customHeight="1" x14ac:dyDescent="0.25">
      <c r="A26" s="2">
        <v>23</v>
      </c>
      <c r="B26" s="3" t="s">
        <v>14</v>
      </c>
      <c r="C26" s="3" t="s">
        <v>101</v>
      </c>
      <c r="D26" s="4" t="s">
        <v>105</v>
      </c>
      <c r="E26" s="5" t="s">
        <v>106</v>
      </c>
      <c r="F26" s="6">
        <v>22</v>
      </c>
      <c r="G26" s="7">
        <v>459.24599999999998</v>
      </c>
      <c r="H26" s="7">
        <v>471.67599999999999</v>
      </c>
      <c r="I26" s="2" t="s">
        <v>18</v>
      </c>
      <c r="J26" s="8">
        <v>272.24</v>
      </c>
      <c r="K26" s="9" t="s">
        <v>19</v>
      </c>
      <c r="L26" s="10" t="s">
        <v>107</v>
      </c>
    </row>
    <row r="27" spans="1:12" ht="12.95" customHeight="1" x14ac:dyDescent="0.25">
      <c r="A27" s="2">
        <v>24</v>
      </c>
      <c r="B27" s="3" t="s">
        <v>34</v>
      </c>
      <c r="C27" s="3" t="s">
        <v>108</v>
      </c>
      <c r="D27" s="4" t="s">
        <v>75</v>
      </c>
      <c r="E27" s="5" t="s">
        <v>109</v>
      </c>
      <c r="F27" s="6">
        <v>1200</v>
      </c>
      <c r="G27" s="7">
        <v>65.099999999999994</v>
      </c>
      <c r="H27" s="7">
        <v>130.38999999999999</v>
      </c>
      <c r="I27" s="2" t="s">
        <v>37</v>
      </c>
      <c r="J27" s="8">
        <v>1041</v>
      </c>
      <c r="K27" s="9" t="s">
        <v>19</v>
      </c>
      <c r="L27" s="10" t="s">
        <v>110</v>
      </c>
    </row>
    <row r="28" spans="1:12" ht="12.95" customHeight="1" x14ac:dyDescent="0.25">
      <c r="A28" s="2">
        <v>25</v>
      </c>
      <c r="B28" s="3" t="s">
        <v>89</v>
      </c>
      <c r="C28" s="3" t="s">
        <v>111</v>
      </c>
      <c r="D28" s="4" t="s">
        <v>112</v>
      </c>
      <c r="E28" s="5" t="s">
        <v>113</v>
      </c>
      <c r="F28" s="6">
        <v>20</v>
      </c>
      <c r="G28" s="7">
        <v>205.22</v>
      </c>
      <c r="H28" s="7">
        <v>191.16079999999999</v>
      </c>
      <c r="I28" s="2" t="s">
        <v>18</v>
      </c>
      <c r="J28" s="11">
        <v>-282.27</v>
      </c>
      <c r="K28" s="12" t="s">
        <v>19</v>
      </c>
      <c r="L28" s="10" t="s">
        <v>114</v>
      </c>
    </row>
    <row r="29" spans="1:12" ht="12.95" customHeight="1" x14ac:dyDescent="0.25">
      <c r="A29" s="2">
        <v>26</v>
      </c>
      <c r="B29" s="3" t="s">
        <v>28</v>
      </c>
      <c r="C29" s="3" t="s">
        <v>111</v>
      </c>
      <c r="D29" s="4" t="s">
        <v>67</v>
      </c>
      <c r="E29" s="5" t="s">
        <v>115</v>
      </c>
      <c r="F29" s="6">
        <v>250</v>
      </c>
      <c r="G29" s="7">
        <v>6.5949999999999998</v>
      </c>
      <c r="H29" s="7">
        <v>5.8150000000000004</v>
      </c>
      <c r="I29" s="2" t="s">
        <v>18</v>
      </c>
      <c r="J29" s="11">
        <v>-196</v>
      </c>
      <c r="K29" s="12" t="s">
        <v>19</v>
      </c>
      <c r="L29" s="10" t="s">
        <v>116</v>
      </c>
    </row>
    <row r="30" spans="1:12" ht="12.95" customHeight="1" x14ac:dyDescent="0.25">
      <c r="A30" s="2">
        <v>27</v>
      </c>
      <c r="B30" s="3" t="s">
        <v>14</v>
      </c>
      <c r="C30" s="3" t="s">
        <v>108</v>
      </c>
      <c r="D30" s="4" t="s">
        <v>117</v>
      </c>
      <c r="E30" s="5" t="s">
        <v>118</v>
      </c>
      <c r="F30" s="6">
        <v>49</v>
      </c>
      <c r="G30" s="7">
        <v>104.021</v>
      </c>
      <c r="H30" s="7">
        <v>119.97</v>
      </c>
      <c r="I30" s="2" t="s">
        <v>18</v>
      </c>
      <c r="J30" s="8">
        <v>782</v>
      </c>
      <c r="K30" s="9" t="s">
        <v>19</v>
      </c>
      <c r="L30" s="10" t="s">
        <v>119</v>
      </c>
    </row>
    <row r="31" spans="1:12" ht="12.95" customHeight="1" x14ac:dyDescent="0.25">
      <c r="A31" s="2">
        <v>28</v>
      </c>
      <c r="B31" s="3" t="s">
        <v>51</v>
      </c>
      <c r="C31" s="3" t="s">
        <v>111</v>
      </c>
      <c r="D31" s="4" t="s">
        <v>120</v>
      </c>
      <c r="E31" s="5" t="s">
        <v>121</v>
      </c>
      <c r="F31" s="6">
        <v>53</v>
      </c>
      <c r="G31" s="7">
        <v>150.56899999999999</v>
      </c>
      <c r="H31" s="7">
        <v>156.53</v>
      </c>
      <c r="I31" s="2" t="s">
        <v>18</v>
      </c>
      <c r="J31" s="8">
        <v>316</v>
      </c>
      <c r="K31" s="9" t="s">
        <v>19</v>
      </c>
      <c r="L31" s="10" t="s">
        <v>122</v>
      </c>
    </row>
    <row r="32" spans="1:12" ht="12.95" customHeight="1" x14ac:dyDescent="0.25">
      <c r="A32" s="2">
        <v>29</v>
      </c>
      <c r="B32" s="3" t="s">
        <v>111</v>
      </c>
      <c r="C32" s="3" t="s">
        <v>123</v>
      </c>
      <c r="D32" s="4" t="s">
        <v>67</v>
      </c>
      <c r="E32" s="5" t="s">
        <v>124</v>
      </c>
      <c r="F32" s="6">
        <v>250</v>
      </c>
      <c r="G32" s="7">
        <v>5.7507000000000001</v>
      </c>
      <c r="H32" s="7">
        <v>5.85</v>
      </c>
      <c r="I32" s="2" t="s">
        <v>18</v>
      </c>
      <c r="J32" s="11">
        <v>-25</v>
      </c>
      <c r="K32" s="12" t="s">
        <v>19</v>
      </c>
      <c r="L32" s="10" t="s">
        <v>125</v>
      </c>
    </row>
    <row r="33" spans="1:12" ht="12.95" customHeight="1" x14ac:dyDescent="0.25">
      <c r="A33" s="2">
        <v>30</v>
      </c>
      <c r="B33" s="3" t="s">
        <v>66</v>
      </c>
      <c r="C33" s="3" t="s">
        <v>123</v>
      </c>
      <c r="D33" s="4" t="s">
        <v>126</v>
      </c>
      <c r="E33" s="5" t="s">
        <v>127</v>
      </c>
      <c r="F33" s="6">
        <v>25</v>
      </c>
      <c r="G33" s="7">
        <v>372.77</v>
      </c>
      <c r="H33" s="7">
        <v>410.38</v>
      </c>
      <c r="I33" s="2" t="s">
        <v>18</v>
      </c>
      <c r="J33" s="8">
        <v>940</v>
      </c>
      <c r="K33" s="9" t="s">
        <v>19</v>
      </c>
      <c r="L33" s="10" t="s">
        <v>128</v>
      </c>
    </row>
    <row r="34" spans="1:12" ht="12.95" customHeight="1" x14ac:dyDescent="0.25">
      <c r="A34" s="2">
        <v>31</v>
      </c>
      <c r="B34" s="3" t="s">
        <v>15</v>
      </c>
      <c r="C34" s="3" t="s">
        <v>129</v>
      </c>
      <c r="D34" s="4" t="s">
        <v>130</v>
      </c>
      <c r="E34" s="5" t="s">
        <v>131</v>
      </c>
      <c r="F34" s="6">
        <v>80</v>
      </c>
      <c r="G34" s="7">
        <v>24.382999999999999</v>
      </c>
      <c r="H34" s="7">
        <v>26.5</v>
      </c>
      <c r="I34" s="2" t="s">
        <v>18</v>
      </c>
      <c r="J34" s="8">
        <v>169.36</v>
      </c>
      <c r="K34" s="9" t="s">
        <v>19</v>
      </c>
      <c r="L34" s="10" t="s">
        <v>132</v>
      </c>
    </row>
    <row r="35" spans="1:12" ht="12.95" customHeight="1" x14ac:dyDescent="0.25">
      <c r="A35" s="2">
        <v>32</v>
      </c>
      <c r="B35" s="3" t="s">
        <v>14</v>
      </c>
      <c r="C35" s="3" t="s">
        <v>133</v>
      </c>
      <c r="D35" s="4" t="s">
        <v>134</v>
      </c>
      <c r="E35" s="5" t="s">
        <v>135</v>
      </c>
      <c r="F35" s="6">
        <v>8</v>
      </c>
      <c r="G35" s="7">
        <v>307.125</v>
      </c>
      <c r="H35" s="7">
        <v>321.82299999999998</v>
      </c>
      <c r="I35" s="2" t="s">
        <v>18</v>
      </c>
      <c r="J35" s="8">
        <v>117.58</v>
      </c>
      <c r="K35" s="9" t="s">
        <v>19</v>
      </c>
      <c r="L35" s="10" t="s">
        <v>136</v>
      </c>
    </row>
    <row r="36" spans="1:12" ht="12.95" customHeight="1" x14ac:dyDescent="0.25">
      <c r="A36" s="2">
        <v>33</v>
      </c>
      <c r="B36" s="3" t="s">
        <v>137</v>
      </c>
      <c r="C36" s="3" t="s">
        <v>138</v>
      </c>
      <c r="D36" s="4" t="s">
        <v>130</v>
      </c>
      <c r="E36" s="5" t="s">
        <v>139</v>
      </c>
      <c r="F36" s="6">
        <v>200</v>
      </c>
      <c r="G36" s="7">
        <v>26.771000000000001</v>
      </c>
      <c r="H36" s="7">
        <v>25.11</v>
      </c>
      <c r="I36" s="2" t="s">
        <v>18</v>
      </c>
      <c r="J36" s="11">
        <v>-332.2</v>
      </c>
      <c r="K36" s="12" t="s">
        <v>19</v>
      </c>
      <c r="L36" s="10" t="s">
        <v>140</v>
      </c>
    </row>
    <row r="37" spans="1:12" ht="12.95" customHeight="1" x14ac:dyDescent="0.25">
      <c r="A37" s="2">
        <v>34</v>
      </c>
      <c r="B37" s="3" t="s">
        <v>51</v>
      </c>
      <c r="C37" s="3" t="s">
        <v>138</v>
      </c>
      <c r="D37" s="4" t="s">
        <v>55</v>
      </c>
      <c r="E37" s="5" t="s">
        <v>141</v>
      </c>
      <c r="F37" s="6">
        <v>25</v>
      </c>
      <c r="G37" s="7">
        <v>52.27</v>
      </c>
      <c r="H37" s="7">
        <v>53.44</v>
      </c>
      <c r="I37" s="2" t="s">
        <v>49</v>
      </c>
      <c r="J37" s="8">
        <v>31.59</v>
      </c>
      <c r="K37" s="9" t="s">
        <v>19</v>
      </c>
      <c r="L37" s="10" t="s">
        <v>142</v>
      </c>
    </row>
    <row r="38" spans="1:12" ht="12.95" customHeight="1" x14ac:dyDescent="0.25">
      <c r="A38" s="2">
        <v>36</v>
      </c>
      <c r="B38" s="3" t="s">
        <v>133</v>
      </c>
      <c r="C38" s="3" t="s">
        <v>138</v>
      </c>
      <c r="D38" s="4" t="s">
        <v>143</v>
      </c>
      <c r="E38" s="5" t="s">
        <v>144</v>
      </c>
      <c r="F38" s="6">
        <v>168</v>
      </c>
      <c r="G38" s="7">
        <v>18.106000000000002</v>
      </c>
      <c r="H38" s="7">
        <v>17.940000000000001</v>
      </c>
      <c r="I38" s="2" t="s">
        <v>18</v>
      </c>
      <c r="J38" s="11">
        <v>-27.89</v>
      </c>
      <c r="K38" s="12" t="s">
        <v>19</v>
      </c>
      <c r="L38" s="10" t="s">
        <v>145</v>
      </c>
    </row>
    <row r="39" spans="1:12" ht="12.95" customHeight="1" x14ac:dyDescent="0.25">
      <c r="A39" s="2">
        <v>37</v>
      </c>
      <c r="B39" s="3" t="s">
        <v>14</v>
      </c>
      <c r="C39" s="3" t="s">
        <v>138</v>
      </c>
      <c r="D39" s="4" t="s">
        <v>146</v>
      </c>
      <c r="E39" s="5" t="s">
        <v>147</v>
      </c>
      <c r="F39" s="6">
        <v>10</v>
      </c>
      <c r="G39" s="7">
        <v>152.1</v>
      </c>
      <c r="H39" s="7">
        <v>160.02000000000001</v>
      </c>
      <c r="I39" s="2" t="s">
        <v>18</v>
      </c>
      <c r="J39" s="8">
        <v>79.2</v>
      </c>
      <c r="K39" s="9" t="s">
        <v>19</v>
      </c>
      <c r="L39" s="10" t="s">
        <v>148</v>
      </c>
    </row>
    <row r="40" spans="1:12" ht="12.95" customHeight="1" x14ac:dyDescent="0.25">
      <c r="A40" s="2">
        <v>38</v>
      </c>
      <c r="B40" s="3" t="s">
        <v>137</v>
      </c>
      <c r="C40" s="3" t="s">
        <v>138</v>
      </c>
      <c r="D40" s="4" t="s">
        <v>149</v>
      </c>
      <c r="E40" s="5" t="s">
        <v>150</v>
      </c>
      <c r="F40" s="6">
        <v>14</v>
      </c>
      <c r="G40" s="7">
        <v>308.072</v>
      </c>
      <c r="H40" s="7">
        <v>314.77</v>
      </c>
      <c r="I40" s="2" t="s">
        <v>18</v>
      </c>
      <c r="J40" s="8">
        <v>93.77</v>
      </c>
      <c r="K40" s="9" t="s">
        <v>19</v>
      </c>
      <c r="L40" s="10" t="s">
        <v>151</v>
      </c>
    </row>
    <row r="41" spans="1:12" ht="6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ht="14.1" customHeight="1" x14ac:dyDescent="0.25">
      <c r="A42" s="20" t="s">
        <v>152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ht="12.95" customHeight="1" x14ac:dyDescent="0.25">
      <c r="A43" s="2">
        <v>35</v>
      </c>
      <c r="B43" s="3" t="s">
        <v>138</v>
      </c>
      <c r="C43" s="13" t="s">
        <v>153</v>
      </c>
      <c r="D43" s="14" t="s">
        <v>55</v>
      </c>
      <c r="E43" s="5" t="s">
        <v>154</v>
      </c>
      <c r="F43" s="6">
        <v>25</v>
      </c>
      <c r="G43" s="7">
        <v>52</v>
      </c>
      <c r="H43" s="15" t="s">
        <v>155</v>
      </c>
      <c r="I43" s="2" t="s">
        <v>49</v>
      </c>
      <c r="J43" s="15" t="s">
        <v>155</v>
      </c>
      <c r="K43" s="13" t="s">
        <v>153</v>
      </c>
      <c r="L43" s="10" t="s">
        <v>156</v>
      </c>
    </row>
    <row r="44" spans="1:12" ht="12.95" customHeight="1" x14ac:dyDescent="0.25">
      <c r="A44" s="2">
        <v>39</v>
      </c>
      <c r="B44" s="3" t="s">
        <v>157</v>
      </c>
      <c r="C44" s="13" t="s">
        <v>153</v>
      </c>
      <c r="D44" s="14" t="s">
        <v>158</v>
      </c>
      <c r="E44" s="5" t="s">
        <v>159</v>
      </c>
      <c r="F44" s="6">
        <v>55</v>
      </c>
      <c r="G44" s="7">
        <v>45.64</v>
      </c>
      <c r="H44" s="15" t="s">
        <v>155</v>
      </c>
      <c r="I44" s="2" t="s">
        <v>18</v>
      </c>
      <c r="J44" s="15" t="s">
        <v>155</v>
      </c>
      <c r="K44" s="13" t="s">
        <v>153</v>
      </c>
      <c r="L44" s="10" t="s">
        <v>160</v>
      </c>
    </row>
    <row r="45" spans="1:12" ht="12.95" customHeight="1" x14ac:dyDescent="0.25">
      <c r="A45" s="2" t="s">
        <v>155</v>
      </c>
      <c r="B45" s="3" t="s">
        <v>14</v>
      </c>
      <c r="C45" s="13" t="s">
        <v>153</v>
      </c>
      <c r="D45" s="14" t="s">
        <v>161</v>
      </c>
      <c r="E45" s="5" t="s">
        <v>162</v>
      </c>
      <c r="F45" s="6">
        <v>110</v>
      </c>
      <c r="G45" s="7">
        <v>9.08</v>
      </c>
      <c r="H45" s="15" t="s">
        <v>155</v>
      </c>
      <c r="I45" s="2" t="s">
        <v>18</v>
      </c>
      <c r="J45" s="15" t="s">
        <v>155</v>
      </c>
      <c r="K45" s="13" t="s">
        <v>153</v>
      </c>
      <c r="L45" s="10" t="s">
        <v>163</v>
      </c>
    </row>
    <row r="46" spans="1:12" ht="12.95" customHeight="1" x14ac:dyDescent="0.25">
      <c r="A46" s="2" t="s">
        <v>155</v>
      </c>
      <c r="B46" s="3" t="s">
        <v>21</v>
      </c>
      <c r="C46" s="13" t="s">
        <v>153</v>
      </c>
      <c r="D46" s="14" t="s">
        <v>164</v>
      </c>
      <c r="E46" s="5" t="s">
        <v>165</v>
      </c>
      <c r="F46" s="6">
        <v>30</v>
      </c>
      <c r="G46" s="7">
        <v>201.20400000000001</v>
      </c>
      <c r="H46" s="15" t="s">
        <v>155</v>
      </c>
      <c r="I46" s="2" t="s">
        <v>18</v>
      </c>
      <c r="J46" s="15" t="s">
        <v>155</v>
      </c>
      <c r="K46" s="13" t="s">
        <v>153</v>
      </c>
      <c r="L46" s="10" t="s">
        <v>166</v>
      </c>
    </row>
    <row r="47" spans="1:12" ht="12.95" customHeight="1" x14ac:dyDescent="0.25">
      <c r="A47" s="2" t="s">
        <v>155</v>
      </c>
      <c r="B47" s="3" t="s">
        <v>84</v>
      </c>
      <c r="C47" s="13" t="s">
        <v>153</v>
      </c>
      <c r="D47" s="14" t="s">
        <v>86</v>
      </c>
      <c r="E47" s="5" t="s">
        <v>167</v>
      </c>
      <c r="F47" s="6">
        <v>50</v>
      </c>
      <c r="G47" s="7">
        <v>109.89</v>
      </c>
      <c r="H47" s="15" t="s">
        <v>155</v>
      </c>
      <c r="I47" s="2" t="s">
        <v>18</v>
      </c>
      <c r="J47" s="15" t="s">
        <v>155</v>
      </c>
      <c r="K47" s="13" t="s">
        <v>153</v>
      </c>
      <c r="L47" s="10" t="s">
        <v>168</v>
      </c>
    </row>
    <row r="48" spans="1:12" ht="12.95" customHeight="1" x14ac:dyDescent="0.25">
      <c r="A48" s="2" t="s">
        <v>155</v>
      </c>
      <c r="B48" s="3" t="s">
        <v>15</v>
      </c>
      <c r="C48" s="13" t="s">
        <v>153</v>
      </c>
      <c r="D48" s="14" t="s">
        <v>90</v>
      </c>
      <c r="E48" s="5" t="s">
        <v>169</v>
      </c>
      <c r="F48" s="6">
        <v>100</v>
      </c>
      <c r="G48" s="7">
        <v>1128.5999999999999</v>
      </c>
      <c r="H48" s="15" t="s">
        <v>155</v>
      </c>
      <c r="I48" s="2" t="s">
        <v>37</v>
      </c>
      <c r="J48" s="15" t="s">
        <v>155</v>
      </c>
      <c r="K48" s="13" t="s">
        <v>153</v>
      </c>
      <c r="L48" s="10" t="s">
        <v>170</v>
      </c>
    </row>
    <row r="49" spans="1:12" ht="12.95" customHeight="1" x14ac:dyDescent="0.25">
      <c r="A49" s="2" t="s">
        <v>155</v>
      </c>
      <c r="B49" s="3" t="s">
        <v>28</v>
      </c>
      <c r="C49" s="13" t="s">
        <v>153</v>
      </c>
      <c r="D49" s="14" t="s">
        <v>171</v>
      </c>
      <c r="E49" s="5" t="s">
        <v>172</v>
      </c>
      <c r="F49" s="6">
        <v>50</v>
      </c>
      <c r="G49" s="7">
        <v>22.010999999999999</v>
      </c>
      <c r="H49" s="15" t="s">
        <v>155</v>
      </c>
      <c r="I49" s="2" t="s">
        <v>18</v>
      </c>
      <c r="J49" s="15" t="s">
        <v>155</v>
      </c>
      <c r="K49" s="13" t="s">
        <v>153</v>
      </c>
      <c r="L49" s="10" t="s">
        <v>173</v>
      </c>
    </row>
    <row r="50" spans="1:12" ht="12.95" customHeight="1" x14ac:dyDescent="0.25">
      <c r="A50" s="2" t="s">
        <v>155</v>
      </c>
      <c r="B50" s="3" t="s">
        <v>51</v>
      </c>
      <c r="C50" s="13" t="s">
        <v>153</v>
      </c>
      <c r="D50" s="14" t="s">
        <v>102</v>
      </c>
      <c r="E50" s="5" t="s">
        <v>174</v>
      </c>
      <c r="F50" s="6">
        <v>250</v>
      </c>
      <c r="G50" s="7">
        <v>11.105</v>
      </c>
      <c r="H50" s="15" t="s">
        <v>155</v>
      </c>
      <c r="I50" s="2" t="s">
        <v>18</v>
      </c>
      <c r="J50" s="15" t="s">
        <v>155</v>
      </c>
      <c r="K50" s="13" t="s">
        <v>153</v>
      </c>
      <c r="L50" s="10" t="s">
        <v>175</v>
      </c>
    </row>
    <row r="51" spans="1:12" ht="12.95" customHeight="1" x14ac:dyDescent="0.25">
      <c r="A51" s="2" t="s">
        <v>155</v>
      </c>
      <c r="B51" s="3" t="s">
        <v>14</v>
      </c>
      <c r="C51" s="13" t="s">
        <v>153</v>
      </c>
      <c r="D51" s="14" t="s">
        <v>117</v>
      </c>
      <c r="E51" s="5" t="s">
        <v>176</v>
      </c>
      <c r="F51" s="6">
        <v>50</v>
      </c>
      <c r="G51" s="7">
        <v>117.02</v>
      </c>
      <c r="H51" s="15" t="s">
        <v>155</v>
      </c>
      <c r="I51" s="2" t="s">
        <v>18</v>
      </c>
      <c r="J51" s="15" t="s">
        <v>155</v>
      </c>
      <c r="K51" s="13" t="s">
        <v>153</v>
      </c>
      <c r="L51" s="10" t="s">
        <v>177</v>
      </c>
    </row>
    <row r="52" spans="1:12" ht="12.95" customHeight="1" x14ac:dyDescent="0.25">
      <c r="A52" s="2" t="s">
        <v>155</v>
      </c>
      <c r="B52" s="3" t="s">
        <v>66</v>
      </c>
      <c r="C52" s="13" t="s">
        <v>153</v>
      </c>
      <c r="D52" s="14" t="s">
        <v>126</v>
      </c>
      <c r="E52" s="5" t="s">
        <v>178</v>
      </c>
      <c r="F52" s="6">
        <v>25</v>
      </c>
      <c r="G52" s="7">
        <v>403.05200000000002</v>
      </c>
      <c r="H52" s="15" t="s">
        <v>155</v>
      </c>
      <c r="I52" s="2" t="s">
        <v>18</v>
      </c>
      <c r="J52" s="15" t="s">
        <v>155</v>
      </c>
      <c r="K52" s="13" t="s">
        <v>153</v>
      </c>
      <c r="L52" s="10" t="s">
        <v>179</v>
      </c>
    </row>
    <row r="53" spans="1:12" ht="12.95" customHeight="1" x14ac:dyDescent="0.25">
      <c r="A53" s="2" t="s">
        <v>155</v>
      </c>
      <c r="B53" s="3" t="s">
        <v>14</v>
      </c>
      <c r="C53" s="13" t="s">
        <v>153</v>
      </c>
      <c r="D53" s="14" t="s">
        <v>180</v>
      </c>
      <c r="E53" s="5" t="s">
        <v>181</v>
      </c>
      <c r="F53" s="6">
        <v>8</v>
      </c>
      <c r="G53" s="7">
        <v>495.125</v>
      </c>
      <c r="H53" s="15" t="s">
        <v>155</v>
      </c>
      <c r="I53" s="2" t="s">
        <v>18</v>
      </c>
      <c r="J53" s="15" t="s">
        <v>155</v>
      </c>
      <c r="K53" s="13" t="s">
        <v>153</v>
      </c>
      <c r="L53" s="10" t="s">
        <v>182</v>
      </c>
    </row>
    <row r="54" spans="1:12" ht="12.95" customHeight="1" x14ac:dyDescent="0.25">
      <c r="A54" s="2" t="s">
        <v>155</v>
      </c>
      <c r="B54" s="3" t="s">
        <v>14</v>
      </c>
      <c r="C54" s="13" t="s">
        <v>153</v>
      </c>
      <c r="D54" s="14" t="s">
        <v>183</v>
      </c>
      <c r="E54" s="5" t="s">
        <v>184</v>
      </c>
      <c r="F54" s="6">
        <v>15</v>
      </c>
      <c r="G54" s="7">
        <v>181.06700000000001</v>
      </c>
      <c r="H54" s="15" t="s">
        <v>155</v>
      </c>
      <c r="I54" s="2" t="s">
        <v>18</v>
      </c>
      <c r="J54" s="15" t="s">
        <v>155</v>
      </c>
      <c r="K54" s="13" t="s">
        <v>153</v>
      </c>
      <c r="L54" s="10" t="s">
        <v>185</v>
      </c>
    </row>
    <row r="55" spans="1:12" ht="12.95" customHeight="1" x14ac:dyDescent="0.25">
      <c r="A55" s="2" t="s">
        <v>155</v>
      </c>
      <c r="B55" s="3" t="s">
        <v>111</v>
      </c>
      <c r="C55" s="13" t="s">
        <v>153</v>
      </c>
      <c r="D55" s="14" t="s">
        <v>186</v>
      </c>
      <c r="E55" s="5" t="s">
        <v>187</v>
      </c>
      <c r="F55" s="6">
        <v>33</v>
      </c>
      <c r="G55" s="7">
        <v>76.531000000000006</v>
      </c>
      <c r="H55" s="15" t="s">
        <v>155</v>
      </c>
      <c r="I55" s="2" t="s">
        <v>18</v>
      </c>
      <c r="J55" s="15" t="s">
        <v>155</v>
      </c>
      <c r="K55" s="13" t="s">
        <v>153</v>
      </c>
      <c r="L55" s="10" t="s">
        <v>188</v>
      </c>
    </row>
    <row r="56" spans="1:12" ht="12.95" customHeight="1" x14ac:dyDescent="0.25">
      <c r="A56" s="2" t="s">
        <v>155</v>
      </c>
      <c r="B56" s="3" t="s">
        <v>66</v>
      </c>
      <c r="C56" s="13" t="s">
        <v>153</v>
      </c>
      <c r="D56" s="14" t="s">
        <v>189</v>
      </c>
      <c r="E56" s="5" t="s">
        <v>190</v>
      </c>
      <c r="F56" s="6">
        <v>291</v>
      </c>
      <c r="G56" s="7">
        <v>10.295</v>
      </c>
      <c r="H56" s="15" t="s">
        <v>155</v>
      </c>
      <c r="I56" s="2" t="s">
        <v>18</v>
      </c>
      <c r="J56" s="15" t="s">
        <v>155</v>
      </c>
      <c r="K56" s="13" t="s">
        <v>153</v>
      </c>
      <c r="L56" s="10" t="s">
        <v>191</v>
      </c>
    </row>
    <row r="57" spans="1:12" ht="12.95" customHeight="1" x14ac:dyDescent="0.25">
      <c r="A57" s="2" t="s">
        <v>155</v>
      </c>
      <c r="B57" s="3" t="s">
        <v>14</v>
      </c>
      <c r="C57" s="13" t="s">
        <v>153</v>
      </c>
      <c r="D57" s="14" t="s">
        <v>192</v>
      </c>
      <c r="E57" s="5" t="s">
        <v>193</v>
      </c>
      <c r="F57" s="6">
        <v>26</v>
      </c>
      <c r="G57" s="7">
        <v>228.739</v>
      </c>
      <c r="H57" s="15" t="s">
        <v>155</v>
      </c>
      <c r="I57" s="2" t="s">
        <v>18</v>
      </c>
      <c r="J57" s="15" t="s">
        <v>155</v>
      </c>
      <c r="K57" s="13" t="s">
        <v>153</v>
      </c>
      <c r="L57" s="10" t="s">
        <v>194</v>
      </c>
    </row>
    <row r="58" spans="1:12" ht="12.95" customHeight="1" x14ac:dyDescent="0.25">
      <c r="A58" s="2" t="s">
        <v>155</v>
      </c>
      <c r="B58" s="3" t="s">
        <v>14</v>
      </c>
      <c r="C58" s="13" t="s">
        <v>153</v>
      </c>
      <c r="D58" s="14" t="s">
        <v>195</v>
      </c>
      <c r="E58" s="5" t="s">
        <v>196</v>
      </c>
      <c r="F58" s="6">
        <v>10</v>
      </c>
      <c r="G58" s="7">
        <v>516.83100000000002</v>
      </c>
      <c r="H58" s="15" t="s">
        <v>155</v>
      </c>
      <c r="I58" s="2" t="s">
        <v>18</v>
      </c>
      <c r="J58" s="15" t="s">
        <v>155</v>
      </c>
      <c r="K58" s="13" t="s">
        <v>153</v>
      </c>
      <c r="L58" s="10" t="s">
        <v>197</v>
      </c>
    </row>
    <row r="59" spans="1:12" ht="12.95" customHeight="1" x14ac:dyDescent="0.25">
      <c r="A59" s="2" t="s">
        <v>155</v>
      </c>
      <c r="B59" s="3" t="s">
        <v>66</v>
      </c>
      <c r="C59" s="13" t="s">
        <v>153</v>
      </c>
      <c r="D59" s="14" t="s">
        <v>47</v>
      </c>
      <c r="E59" s="5" t="s">
        <v>198</v>
      </c>
      <c r="F59" s="6">
        <v>35</v>
      </c>
      <c r="G59" s="7">
        <v>56.085999999999999</v>
      </c>
      <c r="H59" s="15" t="s">
        <v>155</v>
      </c>
      <c r="I59" s="2" t="s">
        <v>49</v>
      </c>
      <c r="J59" s="15" t="s">
        <v>155</v>
      </c>
      <c r="K59" s="13" t="s">
        <v>153</v>
      </c>
      <c r="L59" s="10" t="s">
        <v>199</v>
      </c>
    </row>
    <row r="60" spans="1:12" ht="12.95" customHeight="1" x14ac:dyDescent="0.25">
      <c r="A60" s="2" t="s">
        <v>155</v>
      </c>
      <c r="B60" s="3" t="s">
        <v>34</v>
      </c>
      <c r="C60" s="13" t="s">
        <v>153</v>
      </c>
      <c r="D60" s="14" t="s">
        <v>200</v>
      </c>
      <c r="E60" s="5" t="s">
        <v>201</v>
      </c>
      <c r="F60" s="6">
        <v>3000</v>
      </c>
      <c r="G60" s="7">
        <v>17.489999999999998</v>
      </c>
      <c r="H60" s="15" t="s">
        <v>155</v>
      </c>
      <c r="I60" s="2" t="s">
        <v>37</v>
      </c>
      <c r="J60" s="15" t="s">
        <v>155</v>
      </c>
      <c r="K60" s="13" t="s">
        <v>153</v>
      </c>
      <c r="L60" s="10" t="s">
        <v>202</v>
      </c>
    </row>
    <row r="61" spans="1:12" ht="12.95" customHeight="1" x14ac:dyDescent="0.25">
      <c r="A61" s="2" t="s">
        <v>155</v>
      </c>
      <c r="B61" s="3" t="s">
        <v>15</v>
      </c>
      <c r="C61" s="13" t="s">
        <v>153</v>
      </c>
      <c r="D61" s="14" t="s">
        <v>71</v>
      </c>
      <c r="E61" s="5" t="s">
        <v>203</v>
      </c>
      <c r="F61" s="6">
        <v>15</v>
      </c>
      <c r="G61" s="7">
        <v>185.06700000000001</v>
      </c>
      <c r="H61" s="15" t="s">
        <v>155</v>
      </c>
      <c r="I61" s="2" t="s">
        <v>18</v>
      </c>
      <c r="J61" s="15" t="s">
        <v>155</v>
      </c>
      <c r="K61" s="13" t="s">
        <v>153</v>
      </c>
      <c r="L61" s="10" t="s">
        <v>204</v>
      </c>
    </row>
    <row r="62" spans="1:12" ht="6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1:12" ht="14.1" customHeight="1" x14ac:dyDescent="0.25">
      <c r="A63" s="17" t="s">
        <v>205</v>
      </c>
      <c r="B63" s="16"/>
      <c r="C63" s="16"/>
      <c r="D63" s="16"/>
      <c r="E63" s="16"/>
      <c r="F63" s="18">
        <v>37</v>
      </c>
      <c r="G63" s="16"/>
      <c r="H63" s="16"/>
      <c r="I63" s="16"/>
      <c r="J63" s="16"/>
      <c r="K63" s="16"/>
      <c r="L63" s="16"/>
    </row>
    <row r="64" spans="1:12" ht="14.1" customHeight="1" x14ac:dyDescent="0.25">
      <c r="A64" s="17" t="s">
        <v>206</v>
      </c>
      <c r="B64" s="16"/>
      <c r="C64" s="16"/>
      <c r="D64" s="16"/>
      <c r="E64" s="16"/>
      <c r="F64" s="18">
        <v>19</v>
      </c>
      <c r="G64" s="16"/>
      <c r="H64" s="16"/>
      <c r="I64" s="16"/>
      <c r="J64" s="16"/>
      <c r="K64" s="16"/>
      <c r="L64" s="16"/>
    </row>
    <row r="65" spans="1:12" ht="14.1" customHeight="1" x14ac:dyDescent="0.25">
      <c r="A65" s="17" t="s">
        <v>207</v>
      </c>
      <c r="B65" s="16"/>
      <c r="C65" s="16"/>
      <c r="D65" s="16"/>
      <c r="E65" s="16"/>
      <c r="F65" s="21">
        <f>SUM(J4:J40)</f>
        <v>726.03000000000111</v>
      </c>
      <c r="G65" s="16"/>
      <c r="H65" s="16"/>
      <c r="I65" s="16"/>
      <c r="J65" s="16"/>
      <c r="K65" s="16"/>
      <c r="L65" s="16"/>
    </row>
    <row r="66" spans="1:12" ht="14.1" customHeight="1" x14ac:dyDescent="0.25">
      <c r="A66" s="17" t="s">
        <v>208</v>
      </c>
      <c r="B66" s="16"/>
      <c r="C66" s="16"/>
      <c r="D66" s="16"/>
      <c r="E66" s="16"/>
      <c r="F66" s="18" t="s">
        <v>209</v>
      </c>
      <c r="G66" s="16"/>
      <c r="H66" s="16"/>
      <c r="I66" s="16"/>
      <c r="J66" s="16"/>
      <c r="K66" s="16"/>
      <c r="L66" s="16"/>
    </row>
    <row r="67" spans="1:12" ht="14.1" customHeight="1" x14ac:dyDescent="0.25">
      <c r="A67" s="17" t="s">
        <v>210</v>
      </c>
      <c r="B67" s="16"/>
      <c r="C67" s="16"/>
      <c r="D67" s="16"/>
      <c r="E67" s="16"/>
      <c r="F67" s="18" t="s">
        <v>211</v>
      </c>
      <c r="G67" s="16"/>
      <c r="H67" s="16"/>
      <c r="I67" s="16"/>
      <c r="J67" s="16"/>
      <c r="K67" s="16"/>
      <c r="L67" s="16"/>
    </row>
    <row r="68" spans="1:12" ht="14.1" customHeight="1" x14ac:dyDescent="0.25">
      <c r="A68" s="17" t="s">
        <v>212</v>
      </c>
      <c r="B68" s="16"/>
      <c r="C68" s="16"/>
      <c r="D68" s="16"/>
      <c r="E68" s="16"/>
      <c r="F68" s="18" t="s">
        <v>213</v>
      </c>
      <c r="G68" s="16"/>
      <c r="H68" s="16"/>
      <c r="I68" s="16"/>
      <c r="J68" s="16"/>
      <c r="K68" s="16"/>
      <c r="L68" s="16"/>
    </row>
    <row r="69" spans="1:12" ht="14.1" customHeight="1" x14ac:dyDescent="0.25">
      <c r="A69" s="17" t="s">
        <v>214</v>
      </c>
      <c r="B69" s="16"/>
      <c r="C69" s="16"/>
      <c r="D69" s="16"/>
      <c r="E69" s="16"/>
      <c r="F69" s="18" t="s">
        <v>215</v>
      </c>
      <c r="G69" s="16"/>
      <c r="H69" s="16"/>
      <c r="I69" s="16"/>
      <c r="J69" s="16"/>
      <c r="K69" s="16"/>
      <c r="L69" s="16"/>
    </row>
  </sheetData>
  <mergeCells count="19">
    <mergeCell ref="A1:L1"/>
    <mergeCell ref="A68:E68"/>
    <mergeCell ref="A63:E63"/>
    <mergeCell ref="A67:E67"/>
    <mergeCell ref="A41:L41"/>
    <mergeCell ref="A64:E64"/>
    <mergeCell ref="F67:L67"/>
    <mergeCell ref="A3:L3"/>
    <mergeCell ref="A69:E69"/>
    <mergeCell ref="A65:E65"/>
    <mergeCell ref="A42:L42"/>
    <mergeCell ref="F64:L64"/>
    <mergeCell ref="F69:L69"/>
    <mergeCell ref="F65:L65"/>
    <mergeCell ref="A66:E66"/>
    <mergeCell ref="F68:L68"/>
    <mergeCell ref="F63:L63"/>
    <mergeCell ref="A62:L62"/>
    <mergeCell ref="F66:L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Cadbury</cp:lastModifiedBy>
  <dcterms:created xsi:type="dcterms:W3CDTF">2026-05-09T07:46:54Z</dcterms:created>
  <dcterms:modified xsi:type="dcterms:W3CDTF">2026-05-09T07:48:45Z</dcterms:modified>
</cp:coreProperties>
</file>